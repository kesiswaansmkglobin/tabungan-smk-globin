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-105" yWindow="-105" windowWidth="19425" windowHeight="1030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0" i="1"/>
  <c r="F23" i="1"/>
  <c r="F17" i="1"/>
  <c r="F16" i="1"/>
  <c r="F15" i="1"/>
  <c r="F14" i="1"/>
  <c r="F12" i="1"/>
  <c r="F11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0" i="1"/>
  <c r="D23" i="1"/>
  <c r="D16" i="1"/>
  <c r="D15" i="1"/>
  <c r="D14" i="1"/>
  <c r="D12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E12" i="57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2" i="57"/>
  <c r="C7" i="57"/>
  <c r="C6" i="57"/>
  <c r="D22" i="1" s="1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E32" i="56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32" i="56"/>
  <c r="A31" i="56"/>
  <c r="E30" i="56"/>
  <c r="E31" i="56" s="1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E16" i="56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A16" i="56"/>
  <c r="A15" i="56"/>
  <c r="E14" i="56"/>
  <c r="E15" i="56" s="1"/>
  <c r="A14" i="56"/>
  <c r="A13" i="56"/>
  <c r="E12" i="56"/>
  <c r="E13" i="56" s="1"/>
  <c r="A12" i="56"/>
  <c r="C7" i="56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E48" i="55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F20" i="1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E12" i="54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2" i="54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E20" i="52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20" i="52"/>
  <c r="A19" i="52"/>
  <c r="E18" i="52"/>
  <c r="E19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C6" i="52"/>
  <c r="C8" i="52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8" i="51"/>
  <c r="C7" i="51"/>
  <c r="C6" i="5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E18" i="50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8" i="50"/>
  <c r="A17" i="50"/>
  <c r="E16" i="50"/>
  <c r="E17" i="50" s="1"/>
  <c r="A16" i="50"/>
  <c r="A15" i="50"/>
  <c r="E14" i="50"/>
  <c r="E15" i="50" s="1"/>
  <c r="A14" i="50"/>
  <c r="A13" i="50"/>
  <c r="E12" i="50"/>
  <c r="E13" i="50" s="1"/>
  <c r="A12" i="50"/>
  <c r="C7" i="50"/>
  <c r="C6" i="50"/>
  <c r="C8" i="50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E13" i="49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3" i="49"/>
  <c r="E12" i="49"/>
  <c r="A12" i="49"/>
  <c r="C7" i="49"/>
  <c r="C8" i="49" s="1"/>
  <c r="C6" i="49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E13" i="47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3" i="47"/>
  <c r="E12" i="47"/>
  <c r="A12" i="47"/>
  <c r="C7" i="47"/>
  <c r="C8" i="47" s="1"/>
  <c r="C6" i="47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E12" i="45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2" i="45"/>
  <c r="C7" i="45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E47" i="44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A15" i="44"/>
  <c r="A14" i="44"/>
  <c r="E13" i="44"/>
  <c r="E14" i="44" s="1"/>
  <c r="A13" i="44"/>
  <c r="E12" i="44"/>
  <c r="A12" i="44"/>
  <c r="C7" i="44"/>
  <c r="C6" i="44"/>
  <c r="D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E12" i="43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12" i="43"/>
  <c r="C7" i="43"/>
  <c r="E31" i="1" s="1"/>
  <c r="C6" i="43"/>
  <c r="D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C6" i="41"/>
  <c r="D29" i="1" s="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E12" i="40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E12" i="39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2" i="39"/>
  <c r="C7" i="39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C6" i="38"/>
  <c r="C8" i="38" s="1"/>
  <c r="F26" i="1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E13" i="35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3" i="35"/>
  <c r="E12" i="35"/>
  <c r="A12" i="35"/>
  <c r="C7" i="35"/>
  <c r="C8" i="35" s="1"/>
  <c r="C6" i="35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8" i="33"/>
  <c r="C7" i="33"/>
  <c r="C6" i="33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C6" i="32"/>
  <c r="C8" i="32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8" i="31"/>
  <c r="C7" i="31"/>
  <c r="C6" i="3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E12" i="29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2" i="29"/>
  <c r="C7" i="29"/>
  <c r="C6" i="29"/>
  <c r="C8" i="29" s="1"/>
  <c r="F37" i="1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E12" i="28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2" i="28"/>
  <c r="C7" i="28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E12" i="26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2" i="26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F33" i="1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8" i="16"/>
  <c r="C7" i="16"/>
  <c r="C6" i="16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C6" i="14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44" l="1"/>
  <c r="F32" i="1" s="1"/>
  <c r="D17" i="1"/>
  <c r="D21" i="1"/>
  <c r="D20" i="1"/>
  <c r="D11" i="1"/>
  <c r="D33" i="1"/>
  <c r="D24" i="1"/>
  <c r="C8" i="54"/>
  <c r="F19" i="1" s="1"/>
  <c r="D13" i="1"/>
  <c r="C8" i="43"/>
  <c r="F31" i="1" s="1"/>
  <c r="C8" i="57"/>
  <c r="F22" i="1" s="1"/>
  <c r="C8" i="37"/>
  <c r="F25" i="1" s="1"/>
  <c r="C8" i="28"/>
  <c r="F36" i="1" s="1"/>
  <c r="C8" i="45"/>
  <c r="F10" i="1" s="1"/>
  <c r="C8" i="39"/>
  <c r="F27" i="1" s="1"/>
  <c r="D26" i="1"/>
  <c r="D35" i="1"/>
  <c r="C8" i="26"/>
  <c r="F34" i="1" s="1"/>
  <c r="D37" i="1"/>
  <c r="C8" i="53"/>
  <c r="F18" i="1" s="1"/>
  <c r="C8" i="40"/>
  <c r="F28" i="1" s="1"/>
  <c r="C8" i="41"/>
  <c r="F29" i="1" s="1"/>
  <c r="C8" i="34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<sst xmlns="http://schemas.openxmlformats.org/spreadsheetml/2006/main" count="645" uniqueCount="52">
  <si>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</si>
  <si>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</si>
  <si>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</si>
  <si>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</si>
  <si>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</si>
  <si>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</si>
  <si>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</si>
  <si>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</si>
  <si>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</si>
  <si>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</si>
  <si>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</si>
  <si>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</si>
  <si>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</si>
  <si>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</si>
  <si>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</si>
  <si>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</si>
  <si>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</si>
  <si>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</si>
  <si>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</si>
  <si>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</si>
  <si>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</si>
  <si>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</si>
  <si>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ADITYA FADILLAH</t>
  </si>
  <si>
    <t>AJHAN NAWAFI</t>
  </si>
  <si>
    <t>ANDINI KHAERUL NISA</t>
  </si>
  <si>
    <t>ARINI APRILIANI</t>
  </si>
  <si>
    <t>ARYA SYAPUTRA</t>
  </si>
  <si>
    <t>DEBIH</t>
  </si>
  <si>
    <t>DICKA PRASETYA</t>
  </si>
  <si>
    <t>DIRA AZIZAH</t>
  </si>
  <si>
    <t>EVAN PRATAMA</t>
  </si>
  <si>
    <t>HOERU ROZIKIN</t>
  </si>
  <si>
    <t>JULIANDRA NUGRAHA</t>
  </si>
  <si>
    <t>MOCH ISNA ISKANDAR</t>
  </si>
  <si>
    <t>MUHAMAD DAFI MAULANA</t>
  </si>
  <si>
    <t>MUHAMAD DANI AL FAJAR</t>
  </si>
  <si>
    <t>MUHAMAD ESA ARYANSAH</t>
  </si>
  <si>
    <t>MUHAMAD FAUZAN PRATAMA</t>
  </si>
  <si>
    <t>MUHAMAD INDRA PERMANA</t>
  </si>
  <si>
    <t>MUHAMAD KHOLIQ RIFFARDAN</t>
  </si>
  <si>
    <t>MUHAMAD RAFA EKI WIGELANG</t>
  </si>
  <si>
    <t>MUHAMAD SUHENDI</t>
  </si>
  <si>
    <t>MUHAMAD YOGA PERMANA</t>
  </si>
  <si>
    <t>MUHAMMAD ABI RAMADHAN</t>
  </si>
  <si>
    <t>MUHAMMAD ADITIA SAPUTRA</t>
  </si>
  <si>
    <t>NADIPA AULIA</t>
  </si>
  <si>
    <t>NAZWA CAHAYA RAMADHANTI</t>
  </si>
  <si>
    <t>NUR AMELIA RAHMAN</t>
  </si>
  <si>
    <t>NURSIFA FAUZIAH</t>
  </si>
  <si>
    <t>SITI SALSABILLA RAHMAN</t>
  </si>
  <si>
    <t>VIONA OKTAVIA</t>
  </si>
  <si>
    <t>X - MPLB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</si>
</sst>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24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51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831000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251001526</v>
      </c>
      <c r="C9" s="12" t="s">
        <v>22</v>
      </c>
      <c r="D9" s="14">
        <f>'1'!C6</f>
        <v>21000</v>
      </c>
      <c r="E9" s="14">
        <f>'1'!C7</f>
        <v>0</v>
      </c>
      <c r="F9" s="14">
        <f>'1'!C8</f>
        <v>21000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251001527</v>
      </c>
      <c r="C10" s="12" t="s">
        <v>23</v>
      </c>
      <c r="D10" s="14">
        <f>'2'!C6</f>
        <v>23000</v>
      </c>
      <c r="E10" s="14">
        <f>'2'!C7</f>
        <v>0</v>
      </c>
      <c r="F10" s="14">
        <f>'2'!C8</f>
        <v>23000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251001528</v>
      </c>
      <c r="C11" s="12" t="s">
        <v>24</v>
      </c>
      <c r="D11" s="14">
        <f>'3'!C6</f>
        <v>10000</v>
      </c>
      <c r="E11" s="14">
        <f>'3'!C7</f>
        <v>0</v>
      </c>
      <c r="F11" s="14">
        <f>'3'!C8</f>
        <v>10000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251001529</v>
      </c>
      <c r="C12" s="12" t="s">
        <v>25</v>
      </c>
      <c r="D12" s="14">
        <f>'4'!C6</f>
        <v>0</v>
      </c>
      <c r="E12" s="14">
        <f>'4'!C7</f>
        <v>0</v>
      </c>
      <c r="F12" s="14">
        <f>'4'!C8</f>
        <v>0</v>
      </c>
      <c r="H12" s="13"/>
      <c r="I12" s="13"/>
      <c r="J12" s="13"/>
    </row>
    <row r="13" spans="1:10" x14ac:dyDescent="0.25">
      <c r="A13" s="2">
        <f t="shared" si="0"/>
        <v>5</v>
      </c>
      <c r="B13" s="11">
        <v>251001530</v>
      </c>
      <c r="C13" s="12" t="s">
        <v>26</v>
      </c>
      <c r="D13" s="14">
        <f>'5'!C6</f>
        <v>10000</v>
      </c>
      <c r="E13" s="14">
        <f>'5'!C7</f>
        <v>0</v>
      </c>
      <c r="F13" s="14">
        <f>'5'!C8</f>
        <v>10000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251001531</v>
      </c>
      <c r="C14" s="12" t="s">
        <v>27</v>
      </c>
      <c r="D14" s="14">
        <f>'6'!C6</f>
        <v>0</v>
      </c>
      <c r="E14" s="14">
        <f>'6'!C7</f>
        <v>0</v>
      </c>
      <c r="F14" s="14">
        <f>'6'!C8</f>
        <v>0</v>
      </c>
      <c r="H14" s="13"/>
      <c r="I14" s="13"/>
      <c r="J14" s="13"/>
    </row>
    <row r="15" spans="1:10" x14ac:dyDescent="0.25">
      <c r="A15" s="2">
        <f t="shared" si="0"/>
        <v>7</v>
      </c>
      <c r="B15" s="11">
        <v>251001532</v>
      </c>
      <c r="C15" s="12" t="s">
        <v>28</v>
      </c>
      <c r="D15" s="14">
        <f>'7'!C6</f>
        <v>0</v>
      </c>
      <c r="E15" s="14">
        <f>'7'!C7</f>
        <v>0</v>
      </c>
      <c r="F15" s="14">
        <f>'7'!C8</f>
        <v>0</v>
      </c>
      <c r="H15" s="13"/>
      <c r="I15" s="13"/>
      <c r="J15" s="13"/>
    </row>
    <row r="16" spans="1:10" x14ac:dyDescent="0.25">
      <c r="A16" s="2">
        <f t="shared" si="0"/>
        <v>8</v>
      </c>
      <c r="B16" s="11">
        <v>251001533</v>
      </c>
      <c r="C16" s="12" t="s">
        <v>29</v>
      </c>
      <c r="D16" s="14">
        <f>'8'!C6</f>
        <v>0</v>
      </c>
      <c r="E16" s="14">
        <f>'8'!C7</f>
        <v>0</v>
      </c>
      <c r="F16" s="14">
        <f>'8'!C8</f>
        <v>0</v>
      </c>
      <c r="H16" s="13"/>
      <c r="I16" s="13"/>
      <c r="J16" s="13"/>
    </row>
    <row r="17" spans="1:10" x14ac:dyDescent="0.25">
      <c r="A17" s="2">
        <f t="shared" si="0"/>
        <v>9</v>
      </c>
      <c r="B17" s="11">
        <v>251001534</v>
      </c>
      <c r="C17" s="12" t="s">
        <v>30</v>
      </c>
      <c r="D17" s="14">
        <f>'9'!C6</f>
        <v>60000</v>
      </c>
      <c r="E17" s="14">
        <f>'9'!C7</f>
        <v>0</v>
      </c>
      <c r="F17" s="14">
        <f>'9'!C8</f>
        <v>60000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251001535</v>
      </c>
      <c r="C18" s="12" t="s">
        <v>31</v>
      </c>
      <c r="D18" s="14">
        <f>'10'!C6</f>
        <v>78000</v>
      </c>
      <c r="E18" s="14">
        <f>'10'!C7</f>
        <v>75000</v>
      </c>
      <c r="F18" s="14">
        <f>'10'!C8</f>
        <v>3000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251001536</v>
      </c>
      <c r="C19" s="12" t="s">
        <v>32</v>
      </c>
      <c r="D19" s="14">
        <f>'11'!C6</f>
        <v>45000</v>
      </c>
      <c r="E19" s="14">
        <f>'11'!C7</f>
        <v>0</v>
      </c>
      <c r="F19" s="14">
        <f>'11'!C8</f>
        <v>45000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251001537</v>
      </c>
      <c r="C20" s="12" t="s">
        <v>33</v>
      </c>
      <c r="D20" s="14">
        <f>'12'!C6</f>
        <v>10000</v>
      </c>
      <c r="E20" s="14">
        <f>'12'!C7</f>
        <v>0</v>
      </c>
      <c r="F20" s="14">
        <f>'12'!C8</f>
        <v>10000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251001538</v>
      </c>
      <c r="C21" s="12" t="s">
        <v>34</v>
      </c>
      <c r="D21" s="14">
        <f>'13'!C6</f>
        <v>90000</v>
      </c>
      <c r="E21" s="14">
        <f>'13'!C7</f>
        <v>0</v>
      </c>
      <c r="F21" s="14">
        <f>'13'!C8</f>
        <v>90000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251001539</v>
      </c>
      <c r="C22" s="12" t="s">
        <v>35</v>
      </c>
      <c r="D22" s="14">
        <f>'14'!C6</f>
        <v>35000</v>
      </c>
      <c r="E22" s="14">
        <f>'14'!C7</f>
        <v>20000</v>
      </c>
      <c r="F22" s="14">
        <f>'14'!C8</f>
        <v>15000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251001540</v>
      </c>
      <c r="C23" s="12" t="s">
        <v>36</v>
      </c>
      <c r="D23" s="14">
        <f>'15'!C6</f>
        <v>0</v>
      </c>
      <c r="E23" s="14">
        <f>'15'!C7</f>
        <v>0</v>
      </c>
      <c r="F23" s="14">
        <f>'15'!C8</f>
        <v>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251001541</v>
      </c>
      <c r="C24" s="12" t="s">
        <v>37</v>
      </c>
      <c r="D24" s="14">
        <f>'16'!C6</f>
        <v>22000</v>
      </c>
      <c r="E24" s="14">
        <f>'16'!C7</f>
        <v>0</v>
      </c>
      <c r="F24" s="14">
        <f>'16'!C8</f>
        <v>22000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251001542</v>
      </c>
      <c r="C25" s="12" t="s">
        <v>38</v>
      </c>
      <c r="D25" s="14">
        <f>'17'!C6</f>
        <v>20000</v>
      </c>
      <c r="E25" s="14">
        <f>'17'!C7</f>
        <v>0</v>
      </c>
      <c r="F25" s="14">
        <f>'17'!C8</f>
        <v>20000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251001543</v>
      </c>
      <c r="C26" s="12" t="s">
        <v>39</v>
      </c>
      <c r="D26" s="14">
        <f>'18'!C6</f>
        <v>162000</v>
      </c>
      <c r="E26" s="14">
        <f>'18'!C7</f>
        <v>162000</v>
      </c>
      <c r="F26" s="14">
        <f>'18'!C8</f>
        <v>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251001544</v>
      </c>
      <c r="C27" s="12" t="s">
        <v>40</v>
      </c>
      <c r="D27" s="14">
        <f>'19'!C6</f>
        <v>38000</v>
      </c>
      <c r="E27" s="14">
        <f>'19'!C7</f>
        <v>0</v>
      </c>
      <c r="F27" s="14">
        <f>'19'!C8</f>
        <v>38000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251001545</v>
      </c>
      <c r="C28" s="12" t="s">
        <v>41</v>
      </c>
      <c r="D28" s="14">
        <f>'20'!C6</f>
        <v>88000</v>
      </c>
      <c r="E28" s="14">
        <f>'20'!C7</f>
        <v>0</v>
      </c>
      <c r="F28" s="14">
        <f>'20'!C8</f>
        <v>88000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251001546</v>
      </c>
      <c r="C29" s="12" t="s">
        <v>42</v>
      </c>
      <c r="D29" s="14">
        <f>'21'!C6</f>
        <v>51000</v>
      </c>
      <c r="E29" s="14">
        <f>'21'!C7</f>
        <v>0</v>
      </c>
      <c r="F29" s="14">
        <f>'21'!C8</f>
        <v>51000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251001547</v>
      </c>
      <c r="C30" s="12" t="s">
        <v>43</v>
      </c>
      <c r="D30" s="14">
        <f>'22'!C6</f>
        <v>0</v>
      </c>
      <c r="E30" s="14">
        <f>'22'!C7</f>
        <v>0</v>
      </c>
      <c r="F30" s="14">
        <f>'22'!C8</f>
        <v>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251001548</v>
      </c>
      <c r="C31" s="12" t="s">
        <v>44</v>
      </c>
      <c r="D31" s="14">
        <f>'23'!C6</f>
        <v>186000</v>
      </c>
      <c r="E31" s="14">
        <f>'23'!C7</f>
        <v>0</v>
      </c>
      <c r="F31" s="14">
        <f>'23'!C8</f>
        <v>186000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251001549</v>
      </c>
      <c r="C32" s="12" t="s">
        <v>45</v>
      </c>
      <c r="D32" s="14">
        <f>'24'!C6</f>
        <v>40000</v>
      </c>
      <c r="E32" s="14">
        <f>'24'!C7</f>
        <v>0</v>
      </c>
      <c r="F32" s="14">
        <f>'24'!C8</f>
        <v>40000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251001550</v>
      </c>
      <c r="C33" s="12" t="s">
        <v>46</v>
      </c>
      <c r="D33" s="14">
        <f>'25'!C6</f>
        <v>60000</v>
      </c>
      <c r="E33" s="14">
        <f>'25'!C7</f>
        <v>0</v>
      </c>
      <c r="F33" s="14">
        <f>'25'!C8</f>
        <v>60000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251001551</v>
      </c>
      <c r="C34" s="12" t="s">
        <v>47</v>
      </c>
      <c r="D34" s="14">
        <f>'26'!C6</f>
        <v>15000</v>
      </c>
      <c r="E34" s="14">
        <f>'26'!C7</f>
        <v>0</v>
      </c>
      <c r="F34" s="14">
        <f>'26'!C8</f>
        <v>15000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251001552</v>
      </c>
      <c r="C35" s="12" t="s">
        <v>48</v>
      </c>
      <c r="D35" s="14">
        <f>'27'!C6</f>
        <v>10000</v>
      </c>
      <c r="E35" s="14">
        <f>'27'!C7</f>
        <v>0</v>
      </c>
      <c r="F35" s="14">
        <f>'27'!C8</f>
        <v>10000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251001553</v>
      </c>
      <c r="C36" s="12" t="s">
        <v>49</v>
      </c>
      <c r="D36" s="14">
        <f>'28'!C6</f>
        <v>3000</v>
      </c>
      <c r="E36" s="14">
        <f>'28'!C7</f>
        <v>0</v>
      </c>
      <c r="F36" s="14">
        <f>'28'!C8</f>
        <v>3000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251001554</v>
      </c>
      <c r="C37" s="12" t="s">
        <v>50</v>
      </c>
      <c r="D37" s="14">
        <f>'29'!C6</f>
        <v>11000</v>
      </c>
      <c r="E37" s="14">
        <f>'29'!C7</f>
        <v>0</v>
      </c>
      <c r="F37" s="14">
        <f>'29'!C8</f>
        <v>11000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231001315</v>
      </c>
      <c r="C38" s="12">
        <v>30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231001316</v>
      </c>
      <c r="C39" s="12">
        <v>31</v>
      </c>
      <c r="D39" s="14">
        <f>'31'!C6</f>
        <v>0</v>
      </c>
      <c r="E39" s="14">
        <f>'31'!C7</f>
        <v>0</v>
      </c>
      <c r="F39" s="14">
        <f>'31'!C8</f>
        <v>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231001317</v>
      </c>
      <c r="C40" s="12">
        <v>32</v>
      </c>
      <c r="D40" s="14">
        <f>'32'!C6</f>
        <v>0</v>
      </c>
      <c r="E40" s="14">
        <f>'32'!C7</f>
        <v>0</v>
      </c>
      <c r="F40" s="14">
        <f>'32'!C8</f>
        <v>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231001318</v>
      </c>
      <c r="C41" s="12">
        <v>33</v>
      </c>
      <c r="D41" s="14">
        <f>'33'!C6</f>
        <v>0</v>
      </c>
      <c r="E41" s="14">
        <f>'33'!C7</f>
        <v>0</v>
      </c>
      <c r="F41" s="14">
        <f>'33'!C8</f>
        <v>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231001319</v>
      </c>
      <c r="C42" s="12">
        <v>34</v>
      </c>
      <c r="D42" s="14">
        <f>'34'!C6</f>
        <v>0</v>
      </c>
      <c r="E42" s="14">
        <f>'34'!C7</f>
        <v>0</v>
      </c>
      <c r="F42" s="14">
        <f>'34'!C8</f>
        <v>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231001320</v>
      </c>
      <c r="C43" s="12">
        <v>35</v>
      </c>
      <c r="D43" s="14">
        <f>'35'!C6</f>
        <v>0</v>
      </c>
      <c r="E43" s="14">
        <f>'35'!C7</f>
        <v>0</v>
      </c>
      <c r="F43" s="14">
        <f>'35'!C8</f>
        <v>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231001322</v>
      </c>
      <c r="C44" s="12">
        <v>36</v>
      </c>
      <c r="D44" s="14">
        <f>'36'!C6</f>
        <v>0</v>
      </c>
      <c r="E44" s="14">
        <f>'36'!C7</f>
        <v>0</v>
      </c>
      <c r="F44" s="14">
        <f>'36'!C8</f>
        <v>0</v>
      </c>
      <c r="H44" s="13"/>
      <c r="I44" s="13"/>
      <c r="J44" s="13"/>
    </row>
    <row r="45" spans="1:10" x14ac:dyDescent="0.25">
      <c r="A45" s="2">
        <f t="shared" si="0"/>
        <v>37</v>
      </c>
      <c r="B45" s="11">
        <v>231001323</v>
      </c>
      <c r="C45" s="12">
        <v>37</v>
      </c>
      <c r="D45" s="14">
        <f>'37'!C6</f>
        <v>0</v>
      </c>
      <c r="E45" s="14">
        <f>'37'!C7</f>
        <v>0</v>
      </c>
      <c r="F45" s="14">
        <f>'37'!C8</f>
        <v>0</v>
      </c>
      <c r="H45" s="13"/>
      <c r="I45" s="13"/>
      <c r="J45" s="13"/>
    </row>
    <row r="46" spans="1:10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19</v>
      </c>
      <c r="E60" s="20"/>
      <c r="F60" s="10"/>
    </row>
    <row r="61" spans="1:10" x14ac:dyDescent="0.25">
      <c r="A61" s="10"/>
      <c r="B61" s="10"/>
      <c r="C61" s="10"/>
      <c r="D61" s="20" t="s">
        <v>20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21</v>
      </c>
      <c r="E65" s="19"/>
      <c r="F65" s="10"/>
    </row>
  </sheetData>
  <sheetProtection algorithmName="SHA-512" hashValue="+OoXqFbyNUcdT5xH6Xrvk4/mQ/I1eGyLesMIv5JXIxmi/1b481En0iUH+i3AzhdPDh8+Mtajo9kN+hCYSvKRSQ==" saltValue="Rgn0hwEsSNwGMsiQOrM4Ww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ADITYA FADILLAH</v>
      </c>
    </row>
    <row r="4" spans="1:9" x14ac:dyDescent="0.25">
      <c r="A4" s="21" t="s">
        <v>5</v>
      </c>
      <c r="B4" s="21"/>
      <c r="C4" s="4">
        <f>Sheet1!B9</f>
        <v>251001526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21000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11000</v>
      </c>
      <c r="D43" s="9"/>
      <c r="E43" s="5">
        <f t="shared" si="1"/>
        <v>11000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21000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21000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21000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21000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21000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21000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21000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21000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21000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21000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21000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21000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C71" sqref="C7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AJHAN NAWAFI</v>
      </c>
    </row>
    <row r="4" spans="1:9" x14ac:dyDescent="0.25">
      <c r="A4" s="21" t="s">
        <v>5</v>
      </c>
      <c r="B4" s="21"/>
      <c r="C4" s="4">
        <f>Sheet1!B10</f>
        <v>251001527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23000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5000</v>
      </c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1000</v>
      </c>
      <c r="D43" s="9"/>
      <c r="E43" s="5">
        <f t="shared" si="1"/>
        <v>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18000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23000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23000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D18" sqref="D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ANDINI KHAERUL NISA</v>
      </c>
    </row>
    <row r="4" spans="1:9" x14ac:dyDescent="0.25">
      <c r="A4" s="21" t="s">
        <v>5</v>
      </c>
      <c r="B4" s="21"/>
      <c r="C4" s="4">
        <f>Sheet1!B11</f>
        <v>251001528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10000</v>
      </c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ARINI APRILIANI</v>
      </c>
    </row>
    <row r="4" spans="1:9" x14ac:dyDescent="0.25">
      <c r="A4" s="21" t="s">
        <v>5</v>
      </c>
      <c r="B4" s="21"/>
      <c r="C4" s="4">
        <f>Sheet1!B12</f>
        <v>251001529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activeCell="D48" sqref="D4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ARYA SYAPUTRA</v>
      </c>
    </row>
    <row r="4" spans="1:9" x14ac:dyDescent="0.25">
      <c r="A4" s="21" t="s">
        <v>5</v>
      </c>
      <c r="B4" s="21"/>
      <c r="C4" s="4">
        <f>Sheet1!B13</f>
        <v>251001530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3000</v>
      </c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DEBIH</v>
      </c>
    </row>
    <row r="4" spans="1:9" x14ac:dyDescent="0.25">
      <c r="A4" s="21" t="s">
        <v>5</v>
      </c>
      <c r="B4" s="21"/>
      <c r="C4" s="4">
        <f>Sheet1!B14</f>
        <v>251001531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DICKA PRASETYA</v>
      </c>
    </row>
    <row r="4" spans="1:9" x14ac:dyDescent="0.25">
      <c r="A4" s="21" t="s">
        <v>5</v>
      </c>
      <c r="B4" s="21"/>
      <c r="C4" s="4">
        <f>Sheet1!B15</f>
        <v>251001532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DIRA AZIZAH</v>
      </c>
    </row>
    <row r="4" spans="1:9" x14ac:dyDescent="0.25">
      <c r="A4" s="21" t="s">
        <v>5</v>
      </c>
      <c r="B4" s="21"/>
      <c r="C4" s="4">
        <f>Sheet1!B16</f>
        <v>251001533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activeCell="C65" sqref="C6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EVAN PRATAMA</v>
      </c>
    </row>
    <row r="4" spans="1:9" x14ac:dyDescent="0.25">
      <c r="A4" s="21" t="s">
        <v>5</v>
      </c>
      <c r="B4" s="21"/>
      <c r="C4" s="4">
        <f>Sheet1!B17</f>
        <v>251001534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50000</v>
      </c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60000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60000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60000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60000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60000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60000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60000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60000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60000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60000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60000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60000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60000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60000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D82" sqref="D8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HOERU ROZIKIN</v>
      </c>
    </row>
    <row r="4" spans="1:9" x14ac:dyDescent="0.25">
      <c r="A4" s="21" t="s">
        <v>5</v>
      </c>
      <c r="B4" s="21"/>
      <c r="C4" s="4">
        <f>Sheet1!B18</f>
        <v>251001535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78000</v>
      </c>
    </row>
    <row r="7" spans="1:9" x14ac:dyDescent="0.25">
      <c r="A7" s="21" t="s">
        <v>15</v>
      </c>
      <c r="B7" s="21"/>
      <c r="C7" s="8">
        <f>SUM(D12:D376)</f>
        <v>75000</v>
      </c>
    </row>
    <row r="8" spans="1:9" x14ac:dyDescent="0.25">
      <c r="A8" s="21" t="s">
        <v>16</v>
      </c>
      <c r="B8" s="21"/>
      <c r="C8" s="8">
        <f>SUM(C6-C7)</f>
        <v>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8000</v>
      </c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18000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10000</v>
      </c>
      <c r="D48" s="9"/>
      <c r="E48" s="5">
        <f t="shared" si="1"/>
        <v>28000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38000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48000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53000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15000</v>
      </c>
      <c r="D57" s="9"/>
      <c r="E57" s="5">
        <f t="shared" si="1"/>
        <v>68000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73000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78000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>
        <v>75000</v>
      </c>
      <c r="E80" s="5">
        <f t="shared" si="3"/>
        <v>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54" activePane="bottomRight" state="frozen"/>
      <selection activeCell="C12" sqref="C12"/>
      <selection pane="topRight" activeCell="C12" sqref="C12"/>
      <selection pane="bottomLeft" activeCell="C12" sqref="C12"/>
      <selection pane="bottomRight" activeCell="D67" sqref="D6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JULIANDRA NUGRAHA</v>
      </c>
    </row>
    <row r="4" spans="1:9" x14ac:dyDescent="0.25">
      <c r="A4" s="21" t="s">
        <v>5</v>
      </c>
      <c r="B4" s="21"/>
      <c r="C4" s="4">
        <f>Sheet1!B19</f>
        <v>251001536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45000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>
        <v>5000</v>
      </c>
      <c r="D67" s="9"/>
      <c r="E67" s="5">
        <f t="shared" si="1"/>
        <v>45000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45000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MOCH ISNA ISKANDAR</v>
      </c>
    </row>
    <row r="4" spans="1:9" x14ac:dyDescent="0.25">
      <c r="A4" s="21" t="s">
        <v>5</v>
      </c>
      <c r="B4" s="21"/>
      <c r="C4" s="4">
        <f>Sheet1!B20</f>
        <v>251001537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MUHAMAD DAFI MAULANA</v>
      </c>
    </row>
    <row r="4" spans="1:9" x14ac:dyDescent="0.25">
      <c r="A4" s="21" t="s">
        <v>5</v>
      </c>
      <c r="B4" s="21"/>
      <c r="C4" s="4">
        <f>Sheet1!B21</f>
        <v>251001538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90000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25000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45000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60000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65000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65000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65000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65000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65000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65000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65000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65000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65000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65000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65000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65000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70000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75000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85000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90000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60" activePane="bottomRight" state="frozen"/>
      <selection activeCell="C12" sqref="C12"/>
      <selection pane="topRight" activeCell="C12" sqref="C12"/>
      <selection pane="bottomLeft" activeCell="C12" sqref="C12"/>
      <selection pane="bottomRight" activeCell="D72" sqref="D7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MUHAMAD DANI AL FAJAR</v>
      </c>
    </row>
    <row r="4" spans="1:9" x14ac:dyDescent="0.25">
      <c r="A4" s="21" t="s">
        <v>5</v>
      </c>
      <c r="B4" s="21"/>
      <c r="C4" s="4">
        <f>Sheet1!B22</f>
        <v>251001539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20000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25000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>
        <v>20000</v>
      </c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MUHAMAD ESA ARYANSAH</v>
      </c>
    </row>
    <row r="4" spans="1:9" x14ac:dyDescent="0.25">
      <c r="A4" s="21" t="s">
        <v>5</v>
      </c>
      <c r="B4" s="21"/>
      <c r="C4" s="4">
        <f>Sheet1!B23</f>
        <v>251001540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81" activePane="bottomRight" state="frozen"/>
      <selection activeCell="C12" sqref="C12"/>
      <selection pane="topRight" activeCell="C12" sqref="C12"/>
      <selection pane="bottomLeft" activeCell="C12" sqref="C12"/>
      <selection pane="bottomRight" activeCell="C93" sqref="C9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MUHAMAD FAUZAN PRATAMA</v>
      </c>
    </row>
    <row r="4" spans="1:9" x14ac:dyDescent="0.25">
      <c r="A4" s="21" t="s">
        <v>5</v>
      </c>
      <c r="B4" s="21"/>
      <c r="C4" s="4">
        <f>Sheet1!B24</f>
        <v>251001541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22000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3000</v>
      </c>
      <c r="D18" s="9"/>
      <c r="E18" s="5">
        <f t="shared" si="1"/>
        <v>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3000</v>
      </c>
      <c r="D50" s="9"/>
      <c r="E50" s="5">
        <f t="shared" si="1"/>
        <v>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3000</v>
      </c>
      <c r="D62" s="9"/>
      <c r="E62" s="5">
        <f t="shared" si="1"/>
        <v>13000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18000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2000</v>
      </c>
      <c r="D90" s="9"/>
      <c r="E90" s="5">
        <f t="shared" si="3"/>
        <v>22000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22000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activeCell="D50" sqref="D5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INDRA PERMANA</v>
      </c>
    </row>
    <row r="4" spans="1:9" x14ac:dyDescent="0.25">
      <c r="A4" s="21" t="s">
        <v>5</v>
      </c>
      <c r="B4" s="21"/>
      <c r="C4" s="4">
        <f>Sheet1!B25</f>
        <v>251001542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10000</v>
      </c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10000</v>
      </c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K106" sqref="K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MUHAMAD KHOLIQ RIFFARDAN</v>
      </c>
    </row>
    <row r="4" spans="1:9" x14ac:dyDescent="0.25">
      <c r="A4" s="21" t="s">
        <v>5</v>
      </c>
      <c r="B4" s="21"/>
      <c r="C4" s="4">
        <f>Sheet1!B26</f>
        <v>251001543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162000</v>
      </c>
    </row>
    <row r="7" spans="1:9" x14ac:dyDescent="0.25">
      <c r="A7" s="21" t="s">
        <v>15</v>
      </c>
      <c r="B7" s="21"/>
      <c r="C7" s="8">
        <f>SUM(D12:D376)</f>
        <v>162000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4000</v>
      </c>
      <c r="D48" s="9"/>
      <c r="E48" s="5">
        <f t="shared" si="1"/>
        <v>14000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7000</v>
      </c>
      <c r="D49" s="9"/>
      <c r="E49" s="5">
        <f t="shared" si="1"/>
        <v>21000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10000</v>
      </c>
      <c r="D50" s="9"/>
      <c r="E50" s="5">
        <f t="shared" si="1"/>
        <v>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19000</v>
      </c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7000</v>
      </c>
      <c r="D61" s="9"/>
      <c r="E61" s="5">
        <f t="shared" si="1"/>
        <v>62000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15000</v>
      </c>
      <c r="D62" s="9"/>
      <c r="E62" s="5">
        <f t="shared" si="1"/>
        <v>77000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10000</v>
      </c>
      <c r="D63" s="9"/>
      <c r="E63" s="5">
        <f t="shared" si="1"/>
        <v>87000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97000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102000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>
        <v>75000</v>
      </c>
      <c r="E77" s="5">
        <f t="shared" si="1"/>
        <v>27000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10000</v>
      </c>
      <c r="D89" s="9"/>
      <c r="E89" s="5">
        <f t="shared" si="3"/>
        <v>37000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10000</v>
      </c>
      <c r="D90" s="9"/>
      <c r="E90" s="5">
        <f t="shared" si="3"/>
        <v>47000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20000</v>
      </c>
      <c r="D91" s="9"/>
      <c r="E91" s="5">
        <f t="shared" si="3"/>
        <v>67000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10000</v>
      </c>
      <c r="D92" s="9"/>
      <c r="E92" s="5">
        <f t="shared" si="3"/>
        <v>77000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10000</v>
      </c>
      <c r="D97" s="9"/>
      <c r="E97" s="5">
        <f t="shared" si="3"/>
        <v>87000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>
        <v>87000</v>
      </c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6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RAFA EKI WIGELANG</v>
      </c>
    </row>
    <row r="4" spans="1:9" x14ac:dyDescent="0.25">
      <c r="A4" s="21" t="s">
        <v>5</v>
      </c>
      <c r="B4" s="21"/>
      <c r="C4" s="4">
        <f>Sheet1!B27</f>
        <v>251001544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38000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3000</v>
      </c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18000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28000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33000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38000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38000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2" sqref="D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MUHAMAD SUHENDI</v>
      </c>
    </row>
    <row r="4" spans="1:9" x14ac:dyDescent="0.25">
      <c r="A4" s="21" t="s">
        <v>5</v>
      </c>
      <c r="B4" s="21"/>
      <c r="C4" s="4">
        <f>Sheet1!B28</f>
        <v>251001545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88000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3000</v>
      </c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23000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28000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33000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38000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43000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48000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53000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58000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63000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68000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73000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78000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83000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88000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88000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E107" sqref="E10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MUHAMAD YOGA PERMANA</v>
      </c>
    </row>
    <row r="4" spans="1:9" x14ac:dyDescent="0.25">
      <c r="A4" s="21" t="s">
        <v>5</v>
      </c>
      <c r="B4" s="21"/>
      <c r="C4" s="4">
        <f>Sheet1!B29</f>
        <v>251001546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51000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8000</v>
      </c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7000</v>
      </c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7000</v>
      </c>
      <c r="D61" s="9"/>
      <c r="E61" s="5">
        <f t="shared" si="1"/>
        <v>22000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27000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10000</v>
      </c>
      <c r="D75" s="9"/>
      <c r="E75" s="5">
        <f t="shared" si="1"/>
        <v>37000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7000</v>
      </c>
      <c r="D91" s="9"/>
      <c r="E91" s="5">
        <f t="shared" si="3"/>
        <v>44000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7000</v>
      </c>
      <c r="D105" s="9"/>
      <c r="E105" s="5">
        <f t="shared" si="3"/>
        <v>51000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51000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MUHAMMAD ABI RAMADHAN</v>
      </c>
    </row>
    <row r="4" spans="1:9" x14ac:dyDescent="0.25">
      <c r="A4" s="21" t="s">
        <v>5</v>
      </c>
      <c r="B4" s="21"/>
      <c r="C4" s="4">
        <f>Sheet1!B30</f>
        <v>251001547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9" sqref="D10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MUHAMMAD ADITIA SAPUTRA</v>
      </c>
    </row>
    <row r="4" spans="1:9" x14ac:dyDescent="0.25">
      <c r="A4" s="21" t="s">
        <v>5</v>
      </c>
      <c r="B4" s="21"/>
      <c r="C4" s="4">
        <f>Sheet1!B31</f>
        <v>251001548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186000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186000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11000</v>
      </c>
      <c r="D43" s="9"/>
      <c r="E43" s="5">
        <f t="shared" si="1"/>
        <v>11000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21000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26000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15000</v>
      </c>
      <c r="D49" s="9"/>
      <c r="E49" s="5">
        <f t="shared" si="1"/>
        <v>41000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15000</v>
      </c>
      <c r="D50" s="9"/>
      <c r="E50" s="5">
        <f t="shared" si="1"/>
        <v>56000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61000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20000</v>
      </c>
      <c r="D57" s="9"/>
      <c r="E57" s="5">
        <f t="shared" si="1"/>
        <v>81000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10000</v>
      </c>
      <c r="D61" s="9"/>
      <c r="E61" s="5">
        <f t="shared" si="1"/>
        <v>91000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96000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101000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106000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111000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116000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121000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126000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136000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141000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146000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151000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156000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161000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166000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171000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176000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5000</v>
      </c>
      <c r="D105" s="9"/>
      <c r="E105" s="5">
        <f t="shared" si="3"/>
        <v>181000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186000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186000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186000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186000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186000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186000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186000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186000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186000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186000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186000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186000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186000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186000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186000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186000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186000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186000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186000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186000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186000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186000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186000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186000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186000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186000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186000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186000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186000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186000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186000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186000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186000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186000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186000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186000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186000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186000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186000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186000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186000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186000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186000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186000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186000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186000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186000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186000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186000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186000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186000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186000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186000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186000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186000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186000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186000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186000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186000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186000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186000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186000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186000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186000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186000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186000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186000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186000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186000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186000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186000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186000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186000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186000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186000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186000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186000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186000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186000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186000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186000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186000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186000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186000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186000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186000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186000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186000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186000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186000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186000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186000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186000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186000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186000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186000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186000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186000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186000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186000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186000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186000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186000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186000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186000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186000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186000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186000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186000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186000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186000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186000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186000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186000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186000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186000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186000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186000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186000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186000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186000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186000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186000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186000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186000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186000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186000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186000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186000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186000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186000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186000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186000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186000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186000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186000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186000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186000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186000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186000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186000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186000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186000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186000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186000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186000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186000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186000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186000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186000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186000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186000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186000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186000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186000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186000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186000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186000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186000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186000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186000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186000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186000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186000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186000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186000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186000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186000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186000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186000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186000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186000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186000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186000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186000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186000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186000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186000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186000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186000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186000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186000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186000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186000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186000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186000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186000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186000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186000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186000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186000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186000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186000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186000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186000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186000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186000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186000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186000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186000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186000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186000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186000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186000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186000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186000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186000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186000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186000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186000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186000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186000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186000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186000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186000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186000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186000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186000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186000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186000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186000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186000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186000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186000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186000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186000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186000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186000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186000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186000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186000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186000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186000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186000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186000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186000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186000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186000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186000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186000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186000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186000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186000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186000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186000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186000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186000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186000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186000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186000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186000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186000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186000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186000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186000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186000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186000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186000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186000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186000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186000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186000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186000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186000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186000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186000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186000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186000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186000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186000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186000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D99" sqref="D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NADIPA AULIA</v>
      </c>
    </row>
    <row r="4" spans="1:9" x14ac:dyDescent="0.25">
      <c r="A4" s="21" t="s">
        <v>5</v>
      </c>
      <c r="B4" s="21"/>
      <c r="C4" s="4">
        <f>Sheet1!B32</f>
        <v>251001549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11000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4000</v>
      </c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17000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</v>
      </c>
      <c r="D76" s="9"/>
      <c r="E76" s="5">
        <f t="shared" si="1"/>
        <v>24000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26000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4000</v>
      </c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C109" sqref="C10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NAZWA CAHAYA RAMADHANTI</v>
      </c>
    </row>
    <row r="4" spans="1:9" x14ac:dyDescent="0.25">
      <c r="A4" s="21" t="s">
        <v>5</v>
      </c>
      <c r="B4" s="21"/>
      <c r="C4" s="4">
        <f>Sheet1!B33</f>
        <v>251001550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60000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>
        <v>5000</v>
      </c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10000</v>
      </c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10000</v>
      </c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15000</v>
      </c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7000</v>
      </c>
      <c r="D103" s="9"/>
      <c r="E103" s="5">
        <f t="shared" si="3"/>
        <v>57000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3000</v>
      </c>
      <c r="D104" s="9"/>
      <c r="E104" s="5">
        <f t="shared" si="3"/>
        <v>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42" activePane="bottomRight" state="frozen"/>
      <selection pane="topRight" activeCell="B1" sqref="B1"/>
      <selection pane="bottomLeft" activeCell="A12" sqref="A12"/>
      <selection pane="bottomRight" activeCell="C52" sqref="C5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NUR AMELIA RAHMAN</v>
      </c>
    </row>
    <row r="4" spans="1:9" x14ac:dyDescent="0.25">
      <c r="A4" s="21" t="s">
        <v>5</v>
      </c>
      <c r="B4" s="21"/>
      <c r="C4" s="4">
        <f>Sheet1!B34</f>
        <v>251001551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36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NURSIFA FAUZIAH</v>
      </c>
    </row>
    <row r="4" spans="1:9" x14ac:dyDescent="0.25">
      <c r="A4" s="21" t="s">
        <v>5</v>
      </c>
      <c r="B4" s="21"/>
      <c r="C4" s="4">
        <f>Sheet1!B35</f>
        <v>251001552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SITI SALSABILLA RAHMAN</v>
      </c>
    </row>
    <row r="4" spans="1:9" x14ac:dyDescent="0.25">
      <c r="A4" s="21" t="s">
        <v>5</v>
      </c>
      <c r="B4" s="21"/>
      <c r="C4" s="4">
        <f>Sheet1!B36</f>
        <v>251001553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3000</v>
      </c>
      <c r="D43" s="9"/>
      <c r="E43" s="5">
        <f t="shared" si="1"/>
        <v>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4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VIONA OKTAVIA</v>
      </c>
    </row>
    <row r="4" spans="1:9" x14ac:dyDescent="0.25">
      <c r="A4" s="21" t="s">
        <v>5</v>
      </c>
      <c r="B4" s="21"/>
      <c r="C4" s="4">
        <f>Sheet1!B37</f>
        <v>251001554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11000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6000</v>
      </c>
      <c r="D49" s="9"/>
      <c r="E49" s="5">
        <f t="shared" si="1"/>
        <v>11000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11000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Sheet1!C38</f>
        <v>30</v>
      </c>
    </row>
    <row r="4" spans="1:9" x14ac:dyDescent="0.25">
      <c r="A4" s="21" t="s">
        <v>5</v>
      </c>
      <c r="B4" s="21"/>
      <c r="C4" s="4">
        <f>Sheet1!B38</f>
        <v>231001315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Sheet1!C39</f>
        <v>31</v>
      </c>
    </row>
    <row r="4" spans="1:9" x14ac:dyDescent="0.25">
      <c r="A4" s="21" t="s">
        <v>5</v>
      </c>
      <c r="B4" s="21"/>
      <c r="C4" s="4">
        <f>Sheet1!B39</f>
        <v>231001316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Sheet1!C40</f>
        <v>32</v>
      </c>
    </row>
    <row r="4" spans="1:9" x14ac:dyDescent="0.25">
      <c r="A4" s="21" t="s">
        <v>5</v>
      </c>
      <c r="B4" s="21"/>
      <c r="C4" s="4">
        <f>Sheet1!B40</f>
        <v>231001317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Sheet1!C41</f>
        <v>33</v>
      </c>
    </row>
    <row r="4" spans="1:9" x14ac:dyDescent="0.25">
      <c r="A4" s="21" t="s">
        <v>5</v>
      </c>
      <c r="B4" s="21"/>
      <c r="C4" s="4">
        <f>Sheet1!B41</f>
        <v>231001318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Sheet1!C42</f>
        <v>34</v>
      </c>
    </row>
    <row r="4" spans="1:9" x14ac:dyDescent="0.25">
      <c r="A4" s="21" t="s">
        <v>5</v>
      </c>
      <c r="B4" s="21"/>
      <c r="C4" s="4">
        <f>Sheet1!B42</f>
        <v>231001319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Sheet1!C43</f>
        <v>35</v>
      </c>
    </row>
    <row r="4" spans="1:9" x14ac:dyDescent="0.25">
      <c r="A4" s="21" t="s">
        <v>5</v>
      </c>
      <c r="B4" s="21"/>
      <c r="C4" s="4">
        <f>Sheet1!B43</f>
        <v>231001320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Sheet1!C44</f>
        <v>36</v>
      </c>
    </row>
    <row r="4" spans="1:9" x14ac:dyDescent="0.25">
      <c r="A4" s="21" t="s">
        <v>5</v>
      </c>
      <c r="B4" s="21"/>
      <c r="C4" s="4">
        <f>Sheet1!B44</f>
        <v>231001322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Sheet1!C45</f>
        <v>37</v>
      </c>
    </row>
    <row r="4" spans="1:9" x14ac:dyDescent="0.25">
      <c r="A4" s="21" t="s">
        <v>5</v>
      </c>
      <c r="B4" s="21"/>
      <c r="C4" s="4">
        <f>Sheet1!B45</f>
        <v>231001323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 - MPLB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2025-05-30T06:13:15Z</cp:lastPrinted>
  <dcterms:created xsi:type="dcterms:W3CDTF">2025-05-29T06:07:24Z</dcterms:created>
  <dcterms:modified xsi:type="dcterms:W3CDTF">2025-10-16T03:04:35Z</dcterms:modified>
</cp:coreProperties>
</file>