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0" yWindow="0" windowWidth="21600" windowHeight="916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3" i="1"/>
  <c r="F31" i="1"/>
  <c r="F30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6" i="1"/>
  <c r="E33" i="1"/>
  <c r="E32" i="1"/>
  <c r="E31" i="1"/>
  <c r="E30" i="1"/>
  <c r="E28" i="1"/>
  <c r="E26" i="1"/>
  <c r="E25" i="1"/>
  <c r="E24" i="1"/>
  <c r="E20" i="1"/>
  <c r="E19" i="1"/>
  <c r="E18" i="1"/>
  <c r="E17" i="1"/>
  <c r="E16" i="1"/>
  <c r="E14" i="1"/>
  <c r="E13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3" i="1"/>
  <c r="D31" i="1"/>
  <c r="D30" i="1"/>
  <c r="D24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7" i="57"/>
  <c r="E22" i="1" s="1"/>
  <c r="C6" i="57"/>
  <c r="D22" i="1" s="1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E12" i="56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2" i="56"/>
  <c r="C7" i="56"/>
  <c r="E21" i="1" s="1"/>
  <c r="C6" i="56"/>
  <c r="C8" i="56" s="1"/>
  <c r="F21" i="1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F20" i="1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E13" i="54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3" i="54"/>
  <c r="E12" i="54"/>
  <c r="A12" i="54"/>
  <c r="C8" i="54"/>
  <c r="F19" i="1" s="1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12" i="52"/>
  <c r="C7" i="52"/>
  <c r="C6" i="52"/>
  <c r="C8" i="52" s="1"/>
  <c r="F17" i="1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13" i="51"/>
  <c r="E12" i="51"/>
  <c r="A12" i="51"/>
  <c r="C8" i="51"/>
  <c r="F16" i="1" s="1"/>
  <c r="C7" i="51"/>
  <c r="C6" i="51"/>
  <c r="D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E12" i="50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2" i="50"/>
  <c r="C7" i="50"/>
  <c r="E15" i="1" s="1"/>
  <c r="C6" i="50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E12" i="49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2" i="47"/>
  <c r="C7" i="47"/>
  <c r="E12" i="1" s="1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E12" i="45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2" i="45"/>
  <c r="C7" i="45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E13" i="44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3" i="44"/>
  <c r="E12" i="44"/>
  <c r="A12" i="44"/>
  <c r="C8" i="44"/>
  <c r="F32" i="1" s="1"/>
  <c r="C7" i="44"/>
  <c r="C6" i="44"/>
  <c r="D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E41" i="43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8" i="43"/>
  <c r="C7" i="43"/>
  <c r="C6" i="43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E29" i="1" s="1"/>
  <c r="C6" i="41"/>
  <c r="D29" i="1" s="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E12" i="40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3" i="39"/>
  <c r="E12" i="39"/>
  <c r="A12" i="39"/>
  <c r="C7" i="39"/>
  <c r="E27" i="1" s="1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C6" i="38"/>
  <c r="C8" i="38" s="1"/>
  <c r="F26" i="1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E12" i="35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2" i="35"/>
  <c r="C7" i="35"/>
  <c r="E23" i="1" s="1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E22" i="34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22" i="34"/>
  <c r="A21" i="34"/>
  <c r="A20" i="34"/>
  <c r="A19" i="34"/>
  <c r="A18" i="34"/>
  <c r="A17" i="34"/>
  <c r="E16" i="34"/>
  <c r="E17" i="34" s="1"/>
  <c r="E18" i="34" s="1"/>
  <c r="E19" i="34" s="1"/>
  <c r="E20" i="34" s="1"/>
  <c r="E21" i="34" s="1"/>
  <c r="A16" i="34"/>
  <c r="A15" i="34"/>
  <c r="E14" i="34"/>
  <c r="E15" i="34" s="1"/>
  <c r="A14" i="34"/>
  <c r="A13" i="34"/>
  <c r="E12" i="34"/>
  <c r="E13" i="34" s="1"/>
  <c r="A12" i="34"/>
  <c r="C7" i="34"/>
  <c r="C6" i="34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E13" i="33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3" i="33"/>
  <c r="E12" i="33"/>
  <c r="A12" i="33"/>
  <c r="C8" i="33"/>
  <c r="C7" i="33"/>
  <c r="C6" i="33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C6" i="32"/>
  <c r="C8" i="32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E17" i="3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7" i="31"/>
  <c r="A16" i="31"/>
  <c r="E15" i="31"/>
  <c r="E16" i="31" s="1"/>
  <c r="A15" i="31"/>
  <c r="A14" i="31"/>
  <c r="E13" i="31"/>
  <c r="E14" i="31" s="1"/>
  <c r="A13" i="31"/>
  <c r="E12" i="31"/>
  <c r="A12" i="31"/>
  <c r="C8" i="31"/>
  <c r="C7" i="31"/>
  <c r="C6" i="3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E23" i="30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23" i="30"/>
  <c r="A22" i="30"/>
  <c r="A21" i="30"/>
  <c r="A20" i="30"/>
  <c r="A19" i="30"/>
  <c r="A18" i="30"/>
  <c r="A17" i="30"/>
  <c r="A16" i="30"/>
  <c r="A15" i="30"/>
  <c r="A14" i="30"/>
  <c r="E13" i="30"/>
  <c r="E14" i="30" s="1"/>
  <c r="E15" i="30" s="1"/>
  <c r="E16" i="30" s="1"/>
  <c r="E17" i="30" s="1"/>
  <c r="E18" i="30" s="1"/>
  <c r="E19" i="30" s="1"/>
  <c r="E20" i="30" s="1"/>
  <c r="E21" i="30" s="1"/>
  <c r="E22" i="30" s="1"/>
  <c r="A13" i="30"/>
  <c r="E12" i="30"/>
  <c r="A12" i="30"/>
  <c r="C8" i="30"/>
  <c r="C7" i="30"/>
  <c r="C6" i="30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E12" i="29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2" i="29"/>
  <c r="C7" i="29"/>
  <c r="E37" i="1" s="1"/>
  <c r="C6" i="29"/>
  <c r="C8" i="29" s="1"/>
  <c r="F37" i="1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E13" i="28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3" i="28"/>
  <c r="E12" i="28"/>
  <c r="A12" i="28"/>
  <c r="C8" i="28"/>
  <c r="F36" i="1" s="1"/>
  <c r="C7" i="28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12" i="27"/>
  <c r="C7" i="27"/>
  <c r="E35" i="1" s="1"/>
  <c r="C6" i="27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E12" i="26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2" i="26"/>
  <c r="C7" i="26"/>
  <c r="E34" i="1" s="1"/>
  <c r="C6" i="26"/>
  <c r="C8" i="26" s="1"/>
  <c r="F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3" i="16"/>
  <c r="E12" i="16"/>
  <c r="A12" i="16"/>
  <c r="C8" i="16"/>
  <c r="C7" i="16"/>
  <c r="C6" i="16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C8" i="14" s="1"/>
  <c r="C6" i="14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D34" i="1" l="1"/>
  <c r="C8" i="39"/>
  <c r="F27" i="1" s="1"/>
  <c r="D11" i="1"/>
  <c r="C8" i="37"/>
  <c r="F25" i="1" s="1"/>
  <c r="D17" i="1"/>
  <c r="C8" i="49"/>
  <c r="F14" i="1" s="1"/>
  <c r="C8" i="45"/>
  <c r="F10" i="1" s="1"/>
  <c r="C8" i="27"/>
  <c r="F35" i="1" s="1"/>
  <c r="D13" i="1"/>
  <c r="D21" i="1"/>
  <c r="D37" i="1"/>
  <c r="D35" i="1"/>
  <c r="D26" i="1"/>
  <c r="C8" i="57"/>
  <c r="F22" i="1" s="1"/>
  <c r="D20" i="1"/>
  <c r="C8" i="35"/>
  <c r="F23" i="1" s="1"/>
  <c r="C8" i="47"/>
  <c r="F12" i="1" s="1"/>
  <c r="C8" i="50"/>
  <c r="F15" i="1" s="1"/>
  <c r="D15" i="1"/>
  <c r="C8" i="53"/>
  <c r="F18" i="1" s="1"/>
  <c r="C8" i="40"/>
  <c r="F28" i="1" s="1"/>
  <c r="C8" i="41"/>
  <c r="F29" i="1" s="1"/>
  <c r="C8" i="34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<sst xmlns="http://schemas.openxmlformats.org/spreadsheetml/2006/main" count="646" uniqueCount="53">
  <si>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</si>
  <si>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</si>
  <si>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</si>
  <si>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</si>
  <si>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</si>
  <si>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</si>
  <si>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</si>
  <si>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</si>
  <si>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</si>
  <si>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</si>
  <si>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</si>
  <si>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</si>
  <si>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</si>
  <si>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</si>
  <si>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</si>
  <si>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</si>
  <si>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</si>
  <si>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</si>
  <si>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</si>
  <si>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</si>
  <si>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</si>
  <si>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</si>
  <si>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AGYAN ADITYA</t>
  </si>
  <si>
    <t>AL-RIDHO MIPTAHUL AJMI</t>
  </si>
  <si>
    <t>ANIS YULISTIANA</t>
  </si>
  <si>
    <t>AXSEL</t>
  </si>
  <si>
    <t>CHIKA OKTOVIANI</t>
  </si>
  <si>
    <t>DAVID PRATAMA</t>
  </si>
  <si>
    <t>DELVIA RAMADANI</t>
  </si>
  <si>
    <t>DWI NOPIANI</t>
  </si>
  <si>
    <t>EKA PRIYATNA</t>
  </si>
  <si>
    <t>INDIYANI</t>
  </si>
  <si>
    <t>KANZA NOVIANI</t>
  </si>
  <si>
    <t>KEVIN FAHRIZAL</t>
  </si>
  <si>
    <t>LIVIANA WULANDARI</t>
  </si>
  <si>
    <t>MAURA RIYANI</t>
  </si>
  <si>
    <t>MUHAMAD DEDE MISWAR</t>
  </si>
  <si>
    <t>MUHAMAD DENIS SAPUTRA</t>
  </si>
  <si>
    <t>MUHAMAD FIKRAM ADIMAS.S</t>
  </si>
  <si>
    <t>MUHAMMAD ARIFIN AKBAR</t>
  </si>
  <si>
    <t>MUHAMMAD FIKRI ARDIANSYAH</t>
  </si>
  <si>
    <t>MUHAMMAD LATIF IWANSYAH</t>
  </si>
  <si>
    <t>NAYLA DESTIASARI</t>
  </si>
  <si>
    <t>NOPAL</t>
  </si>
  <si>
    <t>RADITYA IRAWAN</t>
  </si>
  <si>
    <t>RANGGA KUSUMA</t>
  </si>
  <si>
    <t>RIZKI PRATAMA</t>
  </si>
  <si>
    <t>SELVI ZAHRA ARIANI</t>
  </si>
  <si>
    <t>SITI AISYAH</t>
  </si>
  <si>
    <t>SITI NUR ANISSA</t>
  </si>
  <si>
    <t>SITI NUR DAVINA AZZAHRA</t>
  </si>
  <si>
    <t>SUTIYADI</t>
  </si>
  <si>
    <t>XI - PM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</si>
</sst>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9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9" t="s">
        <v>0</v>
      </c>
      <c r="B1" s="19"/>
      <c r="C1" s="19"/>
      <c r="D1" s="19"/>
      <c r="E1" s="19"/>
      <c r="F1" s="19"/>
    </row>
    <row r="2" spans="1:10" ht="18.75" x14ac:dyDescent="0.25">
      <c r="A2" s="19" t="s">
        <v>11</v>
      </c>
      <c r="B2" s="19"/>
      <c r="C2" s="19"/>
      <c r="D2" s="19"/>
      <c r="E2" s="19"/>
      <c r="F2" s="19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20" t="s">
        <v>1</v>
      </c>
      <c r="B4" s="20"/>
      <c r="C4" s="15" t="s">
        <v>52</v>
      </c>
      <c r="D4" s="10"/>
      <c r="E4" s="10"/>
      <c r="F4" s="10"/>
    </row>
    <row r="5" spans="1:10" x14ac:dyDescent="0.25">
      <c r="A5" s="20" t="s">
        <v>2</v>
      </c>
      <c r="B5" s="20"/>
      <c r="C5" s="15" t="s">
        <v>10</v>
      </c>
      <c r="D5" s="10"/>
      <c r="E5" s="10"/>
      <c r="F5" s="10"/>
    </row>
    <row r="6" spans="1:10" x14ac:dyDescent="0.25">
      <c r="A6" s="20" t="s">
        <v>3</v>
      </c>
      <c r="B6" s="20"/>
      <c r="C6" s="16">
        <f>SUM(F9:F58)</f>
        <v>2755000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241001492</v>
      </c>
      <c r="C9" s="12" t="s">
        <v>22</v>
      </c>
      <c r="D9" s="14">
        <f>'1'!C6</f>
        <v>264000</v>
      </c>
      <c r="E9" s="14">
        <f>'1'!C7</f>
        <v>0</v>
      </c>
      <c r="F9" s="14">
        <f>'1'!C8</f>
        <v>264000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241001493</v>
      </c>
      <c r="C10" s="12" t="s">
        <v>23</v>
      </c>
      <c r="D10" s="14">
        <f>'2'!C6</f>
        <v>12000</v>
      </c>
      <c r="E10" s="14">
        <f>'2'!C7</f>
        <v>0</v>
      </c>
      <c r="F10" s="14">
        <f>'2'!C8</f>
        <v>12000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241001495</v>
      </c>
      <c r="C11" s="12" t="s">
        <v>24</v>
      </c>
      <c r="D11" s="14">
        <f>'3'!C6</f>
        <v>0</v>
      </c>
      <c r="E11" s="14">
        <f>'3'!C7</f>
        <v>0</v>
      </c>
      <c r="F11" s="14">
        <f>'3'!C8</f>
        <v>0</v>
      </c>
      <c r="H11" s="13"/>
      <c r="I11" s="13"/>
      <c r="J11" s="13"/>
    </row>
    <row r="12" spans="1:10" x14ac:dyDescent="0.25">
      <c r="A12" s="2">
        <f t="shared" si="0"/>
        <v>4</v>
      </c>
      <c r="B12" s="11">
        <v>241001523</v>
      </c>
      <c r="C12" s="12" t="s">
        <v>25</v>
      </c>
      <c r="D12" s="14">
        <f>'4'!C6</f>
        <v>260000</v>
      </c>
      <c r="E12" s="14">
        <f>'4'!C7</f>
        <v>1000</v>
      </c>
      <c r="F12" s="14">
        <f>'4'!C8</f>
        <v>259000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241001497</v>
      </c>
      <c r="C13" s="12" t="s">
        <v>26</v>
      </c>
      <c r="D13" s="14">
        <f>'5'!C6</f>
        <v>25000</v>
      </c>
      <c r="E13" s="14">
        <f>'5'!C7</f>
        <v>0</v>
      </c>
      <c r="F13" s="14">
        <f>'5'!C8</f>
        <v>25000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241001498</v>
      </c>
      <c r="C14" s="12" t="s">
        <v>27</v>
      </c>
      <c r="D14" s="14">
        <f>'6'!C6</f>
        <v>35000</v>
      </c>
      <c r="E14" s="14">
        <f>'6'!C7</f>
        <v>0</v>
      </c>
      <c r="F14" s="14">
        <f>'6'!C8</f>
        <v>35000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241001499</v>
      </c>
      <c r="C15" s="12" t="s">
        <v>28</v>
      </c>
      <c r="D15" s="14">
        <f>'7'!C6</f>
        <v>85000</v>
      </c>
      <c r="E15" s="14">
        <f>'7'!C7</f>
        <v>21000</v>
      </c>
      <c r="F15" s="14">
        <f>'7'!C8</f>
        <v>64000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241001500</v>
      </c>
      <c r="C16" s="12" t="s">
        <v>29</v>
      </c>
      <c r="D16" s="14">
        <f>'8'!C6</f>
        <v>40000</v>
      </c>
      <c r="E16" s="14">
        <f>'8'!C7</f>
        <v>0</v>
      </c>
      <c r="F16" s="14">
        <f>'8'!C8</f>
        <v>40000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241001501</v>
      </c>
      <c r="C17" s="12" t="s">
        <v>30</v>
      </c>
      <c r="D17" s="14">
        <f>'9'!C6</f>
        <v>120000</v>
      </c>
      <c r="E17" s="14">
        <f>'9'!C7</f>
        <v>0</v>
      </c>
      <c r="F17" s="14">
        <f>'9'!C8</f>
        <v>120000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241001502</v>
      </c>
      <c r="C18" s="12" t="s">
        <v>31</v>
      </c>
      <c r="D18" s="14">
        <f>'10'!C6</f>
        <v>50000</v>
      </c>
      <c r="E18" s="14">
        <f>'10'!C7</f>
        <v>0</v>
      </c>
      <c r="F18" s="14">
        <f>'10'!C8</f>
        <v>50000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241001503</v>
      </c>
      <c r="C19" s="12" t="s">
        <v>32</v>
      </c>
      <c r="D19" s="14">
        <f>'11'!C6</f>
        <v>4000</v>
      </c>
      <c r="E19" s="14">
        <f>'11'!C7</f>
        <v>0</v>
      </c>
      <c r="F19" s="14">
        <f>'11'!C8</f>
        <v>4000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241001504</v>
      </c>
      <c r="C20" s="12" t="s">
        <v>33</v>
      </c>
      <c r="D20" s="14">
        <f>'12'!C6</f>
        <v>17000</v>
      </c>
      <c r="E20" s="14">
        <f>'12'!C7</f>
        <v>0</v>
      </c>
      <c r="F20" s="14">
        <f>'12'!C8</f>
        <v>17000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241001505</v>
      </c>
      <c r="C21" s="12" t="s">
        <v>34</v>
      </c>
      <c r="D21" s="14">
        <f>'13'!C6</f>
        <v>32000</v>
      </c>
      <c r="E21" s="14">
        <f>'13'!C7</f>
        <v>1000</v>
      </c>
      <c r="F21" s="14">
        <f>'13'!C8</f>
        <v>31000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241001506</v>
      </c>
      <c r="C22" s="12" t="s">
        <v>35</v>
      </c>
      <c r="D22" s="14">
        <f>'14'!C6</f>
        <v>45000</v>
      </c>
      <c r="E22" s="14">
        <f>'14'!C7</f>
        <v>45000</v>
      </c>
      <c r="F22" s="14">
        <f>'14'!C8</f>
        <v>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241001507</v>
      </c>
      <c r="C23" s="12" t="s">
        <v>36</v>
      </c>
      <c r="D23" s="14">
        <f>'15'!C6</f>
        <v>550000</v>
      </c>
      <c r="E23" s="14">
        <f>'15'!C7</f>
        <v>1000</v>
      </c>
      <c r="F23" s="14">
        <f>'15'!C8</f>
        <v>549000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241001508</v>
      </c>
      <c r="C24" s="12" t="s">
        <v>37</v>
      </c>
      <c r="D24" s="14">
        <f>'16'!C6</f>
        <v>10000</v>
      </c>
      <c r="E24" s="14">
        <f>'16'!C7</f>
        <v>0</v>
      </c>
      <c r="F24" s="14">
        <f>'16'!C8</f>
        <v>10000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241001509</v>
      </c>
      <c r="C25" s="12" t="s">
        <v>38</v>
      </c>
      <c r="D25" s="14">
        <f>'17'!C6</f>
        <v>15000</v>
      </c>
      <c r="E25" s="14">
        <f>'17'!C7</f>
        <v>0</v>
      </c>
      <c r="F25" s="14">
        <f>'17'!C8</f>
        <v>15000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241001512</v>
      </c>
      <c r="C26" s="12" t="s">
        <v>39</v>
      </c>
      <c r="D26" s="14">
        <f>'18'!C6</f>
        <v>290000</v>
      </c>
      <c r="E26" s="14">
        <f>'18'!C7</f>
        <v>0</v>
      </c>
      <c r="F26" s="14">
        <f>'18'!C8</f>
        <v>290000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241001524</v>
      </c>
      <c r="C27" s="12" t="s">
        <v>40</v>
      </c>
      <c r="D27" s="14">
        <f>'19'!C6</f>
        <v>681000</v>
      </c>
      <c r="E27" s="14">
        <f>'19'!C7</f>
        <v>1000</v>
      </c>
      <c r="F27" s="14">
        <f>'19'!C8</f>
        <v>680000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241001513</v>
      </c>
      <c r="C28" s="12" t="s">
        <v>41</v>
      </c>
      <c r="D28" s="14">
        <f>'20'!C6</f>
        <v>5000</v>
      </c>
      <c r="E28" s="14">
        <f>'20'!C7</f>
        <v>0</v>
      </c>
      <c r="F28" s="14">
        <f>'20'!C8</f>
        <v>5000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241001514</v>
      </c>
      <c r="C29" s="12" t="s">
        <v>42</v>
      </c>
      <c r="D29" s="14">
        <f>'21'!C6</f>
        <v>40000</v>
      </c>
      <c r="E29" s="14">
        <f>'21'!C7</f>
        <v>25000</v>
      </c>
      <c r="F29" s="14">
        <f>'21'!C8</f>
        <v>15000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241001515</v>
      </c>
      <c r="C30" s="12" t="s">
        <v>43</v>
      </c>
      <c r="D30" s="14">
        <f>'22'!C6</f>
        <v>0</v>
      </c>
      <c r="E30" s="14">
        <f>'22'!C7</f>
        <v>0</v>
      </c>
      <c r="F30" s="14">
        <f>'22'!C8</f>
        <v>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241001516</v>
      </c>
      <c r="C31" s="12" t="s">
        <v>44</v>
      </c>
      <c r="D31" s="14">
        <f>'23'!C6</f>
        <v>0</v>
      </c>
      <c r="E31" s="14">
        <f>'23'!C7</f>
        <v>0</v>
      </c>
      <c r="F31" s="14">
        <f>'23'!C8</f>
        <v>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241001517</v>
      </c>
      <c r="C32" s="12" t="s">
        <v>45</v>
      </c>
      <c r="D32" s="14">
        <f>'24'!C6</f>
        <v>50000</v>
      </c>
      <c r="E32" s="14">
        <f>'24'!C7</f>
        <v>0</v>
      </c>
      <c r="F32" s="14">
        <f>'24'!C8</f>
        <v>50000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241001518</v>
      </c>
      <c r="C33" s="12" t="s">
        <v>46</v>
      </c>
      <c r="D33" s="14">
        <f>'25'!C6</f>
        <v>0</v>
      </c>
      <c r="E33" s="14">
        <f>'25'!C7</f>
        <v>0</v>
      </c>
      <c r="F33" s="14">
        <f>'25'!C8</f>
        <v>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241001527</v>
      </c>
      <c r="C34" s="12" t="s">
        <v>47</v>
      </c>
      <c r="D34" s="14">
        <f>'26'!C6</f>
        <v>175000</v>
      </c>
      <c r="E34" s="14">
        <f>'26'!C7</f>
        <v>95000</v>
      </c>
      <c r="F34" s="14">
        <f>'26'!C8</f>
        <v>80000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241001519</v>
      </c>
      <c r="C35" s="12" t="s">
        <v>48</v>
      </c>
      <c r="D35" s="14">
        <f>'27'!C6</f>
        <v>40000</v>
      </c>
      <c r="E35" s="14">
        <f>'27'!C7</f>
        <v>20000</v>
      </c>
      <c r="F35" s="14">
        <f>'27'!C8</f>
        <v>20000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241001520</v>
      </c>
      <c r="C36" s="12" t="s">
        <v>49</v>
      </c>
      <c r="D36" s="14">
        <f>'28'!C6</f>
        <v>5000</v>
      </c>
      <c r="E36" s="14">
        <f>'28'!C7</f>
        <v>0</v>
      </c>
      <c r="F36" s="14">
        <f>'28'!C8</f>
        <v>5000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241001521</v>
      </c>
      <c r="C37" s="12" t="s">
        <v>50</v>
      </c>
      <c r="D37" s="14">
        <f>'29'!C6</f>
        <v>166000</v>
      </c>
      <c r="E37" s="14">
        <f>'29'!C7</f>
        <v>51000</v>
      </c>
      <c r="F37" s="14">
        <f>'29'!C8</f>
        <v>115000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241001522</v>
      </c>
      <c r="C38" s="12" t="s">
        <v>51</v>
      </c>
      <c r="D38" s="14">
        <f>'30'!C6</f>
        <v>0</v>
      </c>
      <c r="E38" s="14">
        <f>'30'!C7</f>
        <v>0</v>
      </c>
      <c r="F38" s="14">
        <f>'30'!C8</f>
        <v>0</v>
      </c>
      <c r="H38" s="13"/>
      <c r="I38" s="13"/>
      <c r="J38" s="13"/>
    </row>
    <row r="39" spans="1:10" hidden="1" x14ac:dyDescent="0.25">
      <c r="A39" s="2">
        <f t="shared" si="0"/>
        <v>31</v>
      </c>
      <c r="B39" s="11">
        <v>31</v>
      </c>
      <c r="C39" s="12">
        <v>31</v>
      </c>
      <c r="D39" s="14">
        <f>'31'!C6</f>
        <v>0</v>
      </c>
      <c r="E39" s="14">
        <f>'31'!C7</f>
        <v>0</v>
      </c>
      <c r="F39" s="14">
        <f>'31'!C8</f>
        <v>0</v>
      </c>
      <c r="H39" s="13"/>
      <c r="I39" s="13"/>
      <c r="J39" s="13"/>
    </row>
    <row r="40" spans="1:10" hidden="1" x14ac:dyDescent="0.25">
      <c r="A40" s="2">
        <f t="shared" si="0"/>
        <v>32</v>
      </c>
      <c r="B40" s="11">
        <v>32</v>
      </c>
      <c r="C40" s="12">
        <v>32</v>
      </c>
      <c r="D40" s="14">
        <f>'32'!C6</f>
        <v>0</v>
      </c>
      <c r="E40" s="14">
        <f>'32'!C7</f>
        <v>0</v>
      </c>
      <c r="F40" s="14">
        <f>'32'!C8</f>
        <v>0</v>
      </c>
      <c r="H40" s="13"/>
      <c r="I40" s="13"/>
      <c r="J40" s="13"/>
    </row>
    <row r="41" spans="1:10" hidden="1" x14ac:dyDescent="0.25">
      <c r="A41" s="2">
        <f t="shared" si="0"/>
        <v>33</v>
      </c>
      <c r="B41" s="11">
        <v>33</v>
      </c>
      <c r="C41" s="12">
        <v>33</v>
      </c>
      <c r="D41" s="14">
        <f>'33'!C6</f>
        <v>0</v>
      </c>
      <c r="E41" s="14">
        <f>'33'!C7</f>
        <v>0</v>
      </c>
      <c r="F41" s="14">
        <f>'33'!C8</f>
        <v>0</v>
      </c>
      <c r="H41" s="13"/>
      <c r="I41" s="13"/>
      <c r="J41" s="13"/>
    </row>
    <row r="42" spans="1:10" hidden="1" x14ac:dyDescent="0.25">
      <c r="A42" s="2">
        <f t="shared" si="0"/>
        <v>34</v>
      </c>
      <c r="B42" s="11">
        <v>34</v>
      </c>
      <c r="C42" s="12">
        <v>34</v>
      </c>
      <c r="D42" s="14">
        <f>'34'!C6</f>
        <v>0</v>
      </c>
      <c r="E42" s="14">
        <f>'34'!C7</f>
        <v>0</v>
      </c>
      <c r="F42" s="14">
        <f>'34'!C8</f>
        <v>0</v>
      </c>
      <c r="H42" s="13"/>
      <c r="I42" s="13"/>
      <c r="J42" s="13"/>
    </row>
    <row r="43" spans="1:10" hidden="1" x14ac:dyDescent="0.25">
      <c r="A43" s="2">
        <f t="shared" si="0"/>
        <v>35</v>
      </c>
      <c r="B43" s="11">
        <v>35</v>
      </c>
      <c r="C43" s="12">
        <v>35</v>
      </c>
      <c r="D43" s="14">
        <f>'35'!C6</f>
        <v>0</v>
      </c>
      <c r="E43" s="14">
        <f>'35'!C7</f>
        <v>0</v>
      </c>
      <c r="F43" s="14">
        <f>'35'!C8</f>
        <v>0</v>
      </c>
      <c r="H43" s="13"/>
      <c r="I43" s="13"/>
      <c r="J43" s="13"/>
    </row>
    <row r="44" spans="1:10" hidden="1" x14ac:dyDescent="0.25">
      <c r="A44" s="2">
        <f t="shared" si="0"/>
        <v>36</v>
      </c>
      <c r="B44" s="11">
        <v>36</v>
      </c>
      <c r="C44" s="12">
        <v>36</v>
      </c>
      <c r="D44" s="14">
        <f>'36'!C6</f>
        <v>0</v>
      </c>
      <c r="E44" s="14">
        <f>'36'!C7</f>
        <v>0</v>
      </c>
      <c r="F44" s="14">
        <f>'36'!C8</f>
        <v>0</v>
      </c>
      <c r="H44" s="13"/>
      <c r="I44" s="13"/>
      <c r="J44" s="13"/>
    </row>
    <row r="45" spans="1:10" hidden="1" x14ac:dyDescent="0.25">
      <c r="A45" s="2">
        <f t="shared" si="0"/>
        <v>37</v>
      </c>
      <c r="B45" s="11">
        <v>37</v>
      </c>
      <c r="C45" s="12">
        <v>37</v>
      </c>
      <c r="D45" s="14">
        <f>'37'!C6</f>
        <v>0</v>
      </c>
      <c r="E45" s="14">
        <f>'37'!C7</f>
        <v>0</v>
      </c>
      <c r="F45" s="14">
        <f>'37'!C8</f>
        <v>0</v>
      </c>
      <c r="H45" s="13"/>
      <c r="I45" s="13"/>
      <c r="J45" s="13"/>
    </row>
    <row r="46" spans="1:10" hidden="1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hidden="1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hidden="1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hidden="1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hidden="1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hidden="1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hidden="1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hidden="1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hidden="1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hidden="1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hidden="1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hidden="1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hidden="1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18" t="s">
        <v>19</v>
      </c>
      <c r="E60" s="18"/>
      <c r="F60" s="10"/>
    </row>
    <row r="61" spans="1:10" x14ac:dyDescent="0.25">
      <c r="A61" s="10"/>
      <c r="B61" s="10"/>
      <c r="C61" s="10"/>
      <c r="D61" s="18" t="s">
        <v>20</v>
      </c>
      <c r="E61" s="18"/>
      <c r="F61" s="10"/>
    </row>
    <row r="62" spans="1:10" x14ac:dyDescent="0.25">
      <c r="A62" s="10"/>
      <c r="B62" s="10"/>
      <c r="C62" s="10"/>
      <c r="D62" s="18"/>
      <c r="E62" s="18"/>
      <c r="F62" s="10"/>
    </row>
    <row r="63" spans="1:10" x14ac:dyDescent="0.25">
      <c r="A63" s="10"/>
      <c r="B63" s="10"/>
      <c r="C63" s="10"/>
      <c r="D63" s="18"/>
      <c r="E63" s="18"/>
      <c r="F63" s="10"/>
    </row>
    <row r="64" spans="1:10" x14ac:dyDescent="0.25">
      <c r="A64" s="10"/>
      <c r="B64" s="10"/>
      <c r="C64" s="10"/>
      <c r="D64" s="18"/>
      <c r="E64" s="18"/>
      <c r="F64" s="10"/>
    </row>
    <row r="65" spans="1:6" x14ac:dyDescent="0.25">
      <c r="A65" s="10"/>
      <c r="B65" s="10"/>
      <c r="C65" s="10"/>
      <c r="D65" s="17" t="s">
        <v>21</v>
      </c>
      <c r="E65" s="17"/>
      <c r="F65" s="10"/>
    </row>
  </sheetData>
  <sheetProtection algorithmName="SHA-512" hashValue="D6Nid9F7pqscJlCUnKCc6BUSU7/9pAdQ1zQy9f+hpaDvL/zC3s20kjy6S/lZVmh5g0URFxCIQeMIPGumgA1vWA==" saltValue="EClu+bZESBDVJrArfdreFg==" spinCount="100000" sheet="1" objects="1" scenarios="1"/>
  <sortState ref="B9:C45">
    <sortCondition ref="C9:C45"/>
  </sortState>
  <mergeCells count="11">
    <mergeCell ref="A1:F1"/>
    <mergeCell ref="A4:B4"/>
    <mergeCell ref="A5:B5"/>
    <mergeCell ref="A6:B6"/>
    <mergeCell ref="A2:F2"/>
    <mergeCell ref="D65:E65"/>
    <mergeCell ref="D60:E60"/>
    <mergeCell ref="D61:E61"/>
    <mergeCell ref="D62:E62"/>
    <mergeCell ref="D63:E63"/>
    <mergeCell ref="D64:E64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72" activePane="bottomRight" state="frozen"/>
      <selection activeCell="C12" sqref="C12"/>
      <selection pane="topRight" activeCell="C12" sqref="C12"/>
      <selection pane="bottomLeft" activeCell="C12" sqref="C12"/>
      <selection pane="bottomRight" activeCell="C78" sqref="C7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AGYAN ADITYA</v>
      </c>
    </row>
    <row r="4" spans="1:9" x14ac:dyDescent="0.25">
      <c r="A4" s="21" t="s">
        <v>5</v>
      </c>
      <c r="B4" s="21"/>
      <c r="C4" s="4">
        <f>Sheet1!B9</f>
        <v>241001492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264000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264000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249000</v>
      </c>
      <c r="D12" s="9"/>
      <c r="E12" s="5">
        <f>IF(B12&lt;&gt;"",C12-D12,"")</f>
        <v>249000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249000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249000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249000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249000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249000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249000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249000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249000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249000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249000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254000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254000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254000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259000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259000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259000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259000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259000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259000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259000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259000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259000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259000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259000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259000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259000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259000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259000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259000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259000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259000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259000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259000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259000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259000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259000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259000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259000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259000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264000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264000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264000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264000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264000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264000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264000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264000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264000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264000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264000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264000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264000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264000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264000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264000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264000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264000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264000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264000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264000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264000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264000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264000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264000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264000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264000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264000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264000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264000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264000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264000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264000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264000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264000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264000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264000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264000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264000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264000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264000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264000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264000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264000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264000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264000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264000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264000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264000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264000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264000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264000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264000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264000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264000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264000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264000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264000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264000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264000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264000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264000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264000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264000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264000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264000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264000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264000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264000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264000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264000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264000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264000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264000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264000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264000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264000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264000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264000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264000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264000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264000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264000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264000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264000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264000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264000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264000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264000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264000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264000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264000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264000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264000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264000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264000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264000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264000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264000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264000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264000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264000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264000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264000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264000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264000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264000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264000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264000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264000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264000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264000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264000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264000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264000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264000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264000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264000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264000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264000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264000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264000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264000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264000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264000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264000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264000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264000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264000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264000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264000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264000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264000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264000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264000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264000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264000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264000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264000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264000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264000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264000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264000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264000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264000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264000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264000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264000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264000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264000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264000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264000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264000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264000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264000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264000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264000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264000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264000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264000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264000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264000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264000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264000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264000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264000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264000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264000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264000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264000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264000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264000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264000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264000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264000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264000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264000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264000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264000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264000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264000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264000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264000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264000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264000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264000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264000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264000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264000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264000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264000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264000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264000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264000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264000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264000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264000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264000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264000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264000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264000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264000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264000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264000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264000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264000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264000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264000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264000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264000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264000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264000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264000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264000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264000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264000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264000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264000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264000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264000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264000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264000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264000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264000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264000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264000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264000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264000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264000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264000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264000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264000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264000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264000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264000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264000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264000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264000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264000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264000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264000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264000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264000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264000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264000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264000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264000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264000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264000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264000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264000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264000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264000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264000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264000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264000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264000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264000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264000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264000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264000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264000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264000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264000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264000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264000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264000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264000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264000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264000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264000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264000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264000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264000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264000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264000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264000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264000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264000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264000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264000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264000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264000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264000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264000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264000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264000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264000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264000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264000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264000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264000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264000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264000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264000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264000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264000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264000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264000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2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AL-RIDHO MIPTAHUL AJMI</v>
      </c>
    </row>
    <row r="4" spans="1:9" x14ac:dyDescent="0.25">
      <c r="A4" s="21" t="s">
        <v>5</v>
      </c>
      <c r="B4" s="21"/>
      <c r="C4" s="4">
        <f>Sheet1!B10</f>
        <v>241001493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12000</v>
      </c>
      <c r="D12" s="9"/>
      <c r="E12" s="5">
        <f>IF(B12&lt;&gt;"",C12-D12,"")</f>
        <v>12000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activeCell="C49" sqref="C4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ANIS YULISTIANA</v>
      </c>
    </row>
    <row r="4" spans="1:9" x14ac:dyDescent="0.25">
      <c r="A4" s="21" t="s">
        <v>5</v>
      </c>
      <c r="B4" s="21"/>
      <c r="C4" s="4">
        <f>Sheet1!B11</f>
        <v>241001495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activeCell="D50" sqref="D5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AXSEL</v>
      </c>
    </row>
    <row r="4" spans="1:9" x14ac:dyDescent="0.25">
      <c r="A4" s="21" t="s">
        <v>5</v>
      </c>
      <c r="B4" s="21"/>
      <c r="C4" s="4">
        <f>Sheet1!B12</f>
        <v>241001523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260000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259000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195000</v>
      </c>
      <c r="D12" s="9"/>
      <c r="E12" s="5">
        <f>IF(B12&lt;&gt;"",C12-D12,"")</f>
        <v>195000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195000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195000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195000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195000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195000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195000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195000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195000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194000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10000</v>
      </c>
      <c r="D22" s="9"/>
      <c r="E22" s="5">
        <f t="shared" si="1"/>
        <v>204000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209000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219000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229000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229000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229000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229000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229000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229000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229000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229000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229000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229000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229000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229000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229000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10000</v>
      </c>
      <c r="D40" s="9"/>
      <c r="E40" s="5">
        <f t="shared" si="1"/>
        <v>239000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239000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239000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239000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239000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239000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239000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239000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10000</v>
      </c>
      <c r="D48" s="9"/>
      <c r="E48" s="5">
        <f t="shared" si="1"/>
        <v>249000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10000</v>
      </c>
      <c r="D49" s="9"/>
      <c r="E49" s="5">
        <f t="shared" si="1"/>
        <v>259000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259000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259000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259000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259000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259000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259000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259000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259000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259000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259000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259000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259000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259000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259000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259000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259000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42" activePane="bottomRight" state="frozen"/>
      <selection activeCell="C12" sqref="C12"/>
      <selection pane="topRight" activeCell="C12" sqref="C12"/>
      <selection pane="bottomLeft" activeCell="C12" sqref="C12"/>
      <selection pane="bottomRight" activeCell="C53" sqref="C5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CHIKA OKTOVIANI</v>
      </c>
    </row>
    <row r="4" spans="1:9" x14ac:dyDescent="0.25">
      <c r="A4" s="21" t="s">
        <v>5</v>
      </c>
      <c r="B4" s="21"/>
      <c r="C4" s="4">
        <f>Sheet1!B13</f>
        <v>241001497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25000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9000</v>
      </c>
      <c r="D21" s="9"/>
      <c r="E21" s="5">
        <f t="shared" si="1"/>
        <v>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6000</v>
      </c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5" sqref="D10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DAVID PRATAMA</v>
      </c>
    </row>
    <row r="4" spans="1:9" x14ac:dyDescent="0.25">
      <c r="A4" s="21" t="s">
        <v>5</v>
      </c>
      <c r="B4" s="21"/>
      <c r="C4" s="4">
        <f>Sheet1!B14</f>
        <v>241001498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10000</v>
      </c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C93" sqref="C9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DELVIA RAMADANI</v>
      </c>
    </row>
    <row r="4" spans="1:9" x14ac:dyDescent="0.25">
      <c r="A4" s="21" t="s">
        <v>5</v>
      </c>
      <c r="B4" s="21"/>
      <c r="C4" s="4">
        <f>Sheet1!B15</f>
        <v>241001499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85000</v>
      </c>
    </row>
    <row r="7" spans="1:9" x14ac:dyDescent="0.25">
      <c r="A7" s="21" t="s">
        <v>15</v>
      </c>
      <c r="B7" s="21"/>
      <c r="C7" s="8">
        <f>SUM(D12:D376)</f>
        <v>21000</v>
      </c>
    </row>
    <row r="8" spans="1:9" x14ac:dyDescent="0.25">
      <c r="A8" s="21" t="s">
        <v>16</v>
      </c>
      <c r="B8" s="21"/>
      <c r="C8" s="8">
        <f>SUM(C6-C7)</f>
        <v>64000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55000</v>
      </c>
      <c r="D12" s="9"/>
      <c r="E12" s="5">
        <f>IF(B12&lt;&gt;"",C12-D12,"")</f>
        <v>55000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>
        <v>1000</v>
      </c>
      <c r="E22" s="5">
        <f t="shared" si="1"/>
        <v>54000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59000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64000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64000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64000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>
        <v>20000</v>
      </c>
      <c r="E78" s="5">
        <f t="shared" si="1"/>
        <v>44000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20000</v>
      </c>
      <c r="D89" s="9"/>
      <c r="E89" s="5">
        <f t="shared" si="3"/>
        <v>64000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64000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DWI NOPIANI</v>
      </c>
    </row>
    <row r="4" spans="1:9" x14ac:dyDescent="0.25">
      <c r="A4" s="21" t="s">
        <v>5</v>
      </c>
      <c r="B4" s="21"/>
      <c r="C4" s="4">
        <f>Sheet1!B16</f>
        <v>241001500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40000</v>
      </c>
      <c r="D12" s="9"/>
      <c r="E12" s="5">
        <f>IF(B12&lt;&gt;"",C12-D12,"")</f>
        <v>40000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EKA PRIYATNA</v>
      </c>
    </row>
    <row r="4" spans="1:9" x14ac:dyDescent="0.25">
      <c r="A4" s="21" t="s">
        <v>5</v>
      </c>
      <c r="B4" s="21"/>
      <c r="C4" s="4">
        <f>Sheet1!B17</f>
        <v>241001501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120000</v>
      </c>
      <c r="D12" s="9"/>
      <c r="E12" s="5">
        <f>IF(B12&lt;&gt;"",C12-D12,"")</f>
        <v>120000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120000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activeCell="D42" sqref="D4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INDIYANI</v>
      </c>
    </row>
    <row r="4" spans="1:9" x14ac:dyDescent="0.25">
      <c r="A4" s="21" t="s">
        <v>5</v>
      </c>
      <c r="B4" s="21"/>
      <c r="C4" s="4">
        <f>Sheet1!B18</f>
        <v>241001502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10000</v>
      </c>
      <c r="D44" s="9"/>
      <c r="E44" s="5">
        <f t="shared" si="1"/>
        <v>45000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>
        <v>5000</v>
      </c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KANZA NOVIANI</v>
      </c>
    </row>
    <row r="4" spans="1:9" x14ac:dyDescent="0.25">
      <c r="A4" s="21" t="s">
        <v>5</v>
      </c>
      <c r="B4" s="21"/>
      <c r="C4" s="4">
        <f>Sheet1!B19</f>
        <v>241001503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</v>
      </c>
      <c r="D12" s="9"/>
      <c r="E12" s="5">
        <f>IF(B12&lt;&gt;"",C12-D12,"")</f>
        <v>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45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KEVIN FAHRIZAL</v>
      </c>
    </row>
    <row r="4" spans="1:9" x14ac:dyDescent="0.25">
      <c r="A4" s="21" t="s">
        <v>5</v>
      </c>
      <c r="B4" s="21"/>
      <c r="C4" s="4">
        <f>Sheet1!B20</f>
        <v>241001504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2000</v>
      </c>
      <c r="D23" s="9"/>
      <c r="E23" s="5">
        <f t="shared" si="1"/>
        <v>17000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17000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activeCell="C81" sqref="C8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LIVIANA WULANDARI</v>
      </c>
    </row>
    <row r="4" spans="1:9" x14ac:dyDescent="0.25">
      <c r="A4" s="21" t="s">
        <v>5</v>
      </c>
      <c r="B4" s="21"/>
      <c r="C4" s="4">
        <f>Sheet1!B21</f>
        <v>241001505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32000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31000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>
        <v>1000</v>
      </c>
      <c r="E13" s="5">
        <f>IF(B13&lt;&gt;"",E12+C13-D13,"")</f>
        <v>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16000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16000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21000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26000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31000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activeCell="D81" sqref="D8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MAURA RIYANI</v>
      </c>
    </row>
    <row r="4" spans="1:9" x14ac:dyDescent="0.25">
      <c r="A4" s="21" t="s">
        <v>5</v>
      </c>
      <c r="B4" s="21"/>
      <c r="C4" s="4">
        <f>Sheet1!B22</f>
        <v>241001506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45000</v>
      </c>
    </row>
    <row r="7" spans="1:9" x14ac:dyDescent="0.25">
      <c r="A7" s="21" t="s">
        <v>15</v>
      </c>
      <c r="B7" s="21"/>
      <c r="C7" s="8">
        <f>SUM(D12:D376)</f>
        <v>45000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10000</v>
      </c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6000</v>
      </c>
      <c r="D26" s="9"/>
      <c r="E26" s="5">
        <f t="shared" si="1"/>
        <v>16000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6000</v>
      </c>
      <c r="D28" s="9"/>
      <c r="E28" s="5">
        <f t="shared" si="1"/>
        <v>32000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8000</v>
      </c>
      <c r="D29" s="9"/>
      <c r="E29" s="5">
        <f t="shared" si="1"/>
        <v>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45000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>
        <v>45000</v>
      </c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84" activePane="bottomRight" state="frozen"/>
      <selection activeCell="C12" sqref="C12"/>
      <selection pane="topRight" activeCell="C12" sqref="C12"/>
      <selection pane="bottomLeft" activeCell="C12" sqref="C12"/>
      <selection pane="bottomRight" activeCell="C96" sqref="C9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MUHAMAD DEDE MISWAR</v>
      </c>
    </row>
    <row r="4" spans="1:9" x14ac:dyDescent="0.25">
      <c r="A4" s="21" t="s">
        <v>5</v>
      </c>
      <c r="B4" s="21"/>
      <c r="C4" s="4">
        <f>Sheet1!B23</f>
        <v>241001507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550000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549000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420000</v>
      </c>
      <c r="D12" s="9"/>
      <c r="E12" s="5">
        <f>IF(B12&lt;&gt;"",C12-D12,"")</f>
        <v>420000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419000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20000</v>
      </c>
      <c r="D22" s="9"/>
      <c r="E22" s="5">
        <f t="shared" si="1"/>
        <v>439000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439000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439000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439000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449000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449000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449000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449000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449000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449000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449000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449000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449000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449000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20000</v>
      </c>
      <c r="D36" s="9"/>
      <c r="E36" s="5">
        <f t="shared" si="1"/>
        <v>469000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469000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469000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469000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469000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469000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15000</v>
      </c>
      <c r="D42" s="9"/>
      <c r="E42" s="5">
        <f t="shared" si="1"/>
        <v>484000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484000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484000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484000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484000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484000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484000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484000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484000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484000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484000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484000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484000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484000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484000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484000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484000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484000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484000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484000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30000</v>
      </c>
      <c r="D62" s="9"/>
      <c r="E62" s="5">
        <f t="shared" si="1"/>
        <v>514000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519000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519000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519000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519000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519000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519000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529000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529000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529000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529000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529000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529000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529000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529000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10000</v>
      </c>
      <c r="D77" s="9"/>
      <c r="E77" s="5">
        <f t="shared" si="1"/>
        <v>539000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539000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539000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539000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539000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539000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539000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539000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539000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539000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539000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539000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539000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10000</v>
      </c>
      <c r="D90" s="9"/>
      <c r="E90" s="5">
        <f t="shared" si="3"/>
        <v>549000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549000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549000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549000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549000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549000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549000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549000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549000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549000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549000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549000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549000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549000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549000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549000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549000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549000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549000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549000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549000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549000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549000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549000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549000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549000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549000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549000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549000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549000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549000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549000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549000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549000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549000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549000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549000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549000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549000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549000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549000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549000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549000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549000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549000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549000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549000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549000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549000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549000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549000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549000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549000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549000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549000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549000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549000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549000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549000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549000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549000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549000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549000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549000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549000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549000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549000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549000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549000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549000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549000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549000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549000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549000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549000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549000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549000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549000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549000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549000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549000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549000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549000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549000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549000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549000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549000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549000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549000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549000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549000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549000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549000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549000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549000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549000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549000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549000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549000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549000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549000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549000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549000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549000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549000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549000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549000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549000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549000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549000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549000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549000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549000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549000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549000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549000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549000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549000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549000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549000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549000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549000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549000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549000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549000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549000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549000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549000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549000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549000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549000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549000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549000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549000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549000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549000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549000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549000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549000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549000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549000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549000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549000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549000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549000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549000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549000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549000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549000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549000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549000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549000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549000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549000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549000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549000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549000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549000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549000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549000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549000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549000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549000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549000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549000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549000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549000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549000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549000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549000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549000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549000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549000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549000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549000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549000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549000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549000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549000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549000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549000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549000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549000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549000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549000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549000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549000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549000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549000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549000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549000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549000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549000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549000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549000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549000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549000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549000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549000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549000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549000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549000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549000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549000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549000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549000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549000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549000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549000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549000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549000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549000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549000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549000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549000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549000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549000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549000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549000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549000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549000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549000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549000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549000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549000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549000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549000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549000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549000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549000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549000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549000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549000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549000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549000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549000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549000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549000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549000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549000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549000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549000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549000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549000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549000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549000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549000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549000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549000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549000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549000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549000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549000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549000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549000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549000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549000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549000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549000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549000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549000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549000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549000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549000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549000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549000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549000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549000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549000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549000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549000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549000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549000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549000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549000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549000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549000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549000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549000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549000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549000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549000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549000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549000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549000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549000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549000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MUHAMAD DENIS SAPUTRA</v>
      </c>
    </row>
    <row r="4" spans="1:9" x14ac:dyDescent="0.25">
      <c r="A4" s="21" t="s">
        <v>5</v>
      </c>
      <c r="B4" s="21"/>
      <c r="C4" s="4">
        <f>Sheet1!B24</f>
        <v>241001508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FIKRAM ADIMAS.S</v>
      </c>
    </row>
    <row r="4" spans="1:9" x14ac:dyDescent="0.25">
      <c r="A4" s="21" t="s">
        <v>5</v>
      </c>
      <c r="B4" s="21"/>
      <c r="C4" s="4">
        <f>Sheet1!B25</f>
        <v>241001509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90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MUHAMMAD ARIFIN AKBAR</v>
      </c>
    </row>
    <row r="4" spans="1:9" x14ac:dyDescent="0.25">
      <c r="A4" s="21" t="s">
        <v>5</v>
      </c>
      <c r="B4" s="21"/>
      <c r="C4" s="4">
        <f>Sheet1!B26</f>
        <v>241001512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290000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290000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164000</v>
      </c>
      <c r="D12" s="9"/>
      <c r="E12" s="5">
        <f>IF(B12&lt;&gt;"",C12-D12,"")</f>
        <v>164000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164000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164000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164000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164000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164000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164000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164000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164000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164000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164000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169000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169000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169000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174000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174000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174000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174000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174000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174000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174000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174000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174000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174000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6000</v>
      </c>
      <c r="D36" s="9"/>
      <c r="E36" s="5">
        <f t="shared" si="1"/>
        <v>180000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180000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180000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180000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180000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180000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180000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180000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180000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180000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180000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180000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180000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180000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185000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185000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185000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185000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185000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185000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185000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185000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185000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185000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185000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185000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190000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15000</v>
      </c>
      <c r="D63" s="9"/>
      <c r="E63" s="5">
        <f t="shared" si="1"/>
        <v>205000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10000</v>
      </c>
      <c r="D64" s="9"/>
      <c r="E64" s="5">
        <f t="shared" si="1"/>
        <v>215000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15000</v>
      </c>
      <c r="D69" s="9"/>
      <c r="E69" s="5">
        <f t="shared" si="1"/>
        <v>230000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15000</v>
      </c>
      <c r="D75" s="9"/>
      <c r="E75" s="5">
        <f t="shared" si="1"/>
        <v>245000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250000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10000</v>
      </c>
      <c r="D89" s="9"/>
      <c r="E89" s="5">
        <f t="shared" si="3"/>
        <v>260000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265000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270000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275000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280000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285000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285000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285000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285000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285000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285000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290000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290000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290000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290000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290000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290000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290000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290000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290000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290000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290000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290000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290000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290000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290000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290000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290000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290000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290000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290000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290000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290000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290000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290000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290000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290000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290000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290000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290000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290000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290000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290000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290000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290000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290000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290000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290000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290000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290000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290000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290000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290000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290000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290000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290000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290000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290000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290000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290000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290000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290000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290000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290000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290000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290000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290000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290000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290000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290000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290000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290000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290000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290000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290000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290000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290000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290000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290000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290000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290000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290000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290000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290000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290000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290000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290000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290000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290000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290000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290000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290000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290000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290000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290000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290000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290000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290000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290000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290000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290000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290000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290000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290000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290000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290000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290000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290000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290000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290000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290000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290000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290000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290000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290000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290000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290000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290000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290000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290000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290000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290000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290000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290000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290000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290000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290000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290000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290000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290000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290000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290000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290000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290000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290000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290000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290000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290000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290000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290000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290000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290000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290000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290000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290000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290000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290000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290000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290000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290000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290000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290000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290000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290000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290000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290000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290000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290000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290000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290000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290000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290000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290000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290000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290000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290000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290000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290000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290000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290000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290000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290000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290000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290000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290000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290000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290000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290000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290000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290000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290000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290000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290000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290000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290000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290000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290000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290000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290000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290000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290000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290000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290000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290000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290000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290000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290000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290000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290000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290000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290000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290000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290000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290000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290000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290000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290000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290000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290000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290000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290000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290000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290000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290000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290000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290000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290000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290000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290000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290000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290000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290000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290000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290000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290000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290000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290000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290000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290000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290000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290000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290000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290000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290000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290000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290000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290000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290000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290000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290000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290000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290000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290000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290000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290000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290000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290000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290000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290000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290000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290000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290000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290000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290000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290000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290000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290000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290000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290000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290000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290000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290000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290000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290000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290000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290000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290000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290000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290000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290000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290000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290000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290000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290000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290000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290000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290000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290000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290000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290000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290000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290000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290000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290000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3" sqref="D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MUHAMMAD FIKRI ARDIANSYAH</v>
      </c>
    </row>
    <row r="4" spans="1:9" x14ac:dyDescent="0.25">
      <c r="A4" s="21" t="s">
        <v>5</v>
      </c>
      <c r="B4" s="21"/>
      <c r="C4" s="4">
        <f>Sheet1!B27</f>
        <v>241001524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681000</v>
      </c>
    </row>
    <row r="7" spans="1:9" x14ac:dyDescent="0.25">
      <c r="A7" s="21" t="s">
        <v>15</v>
      </c>
      <c r="B7" s="21"/>
      <c r="C7" s="8">
        <f>SUM(D12:D376)</f>
        <v>1000</v>
      </c>
    </row>
    <row r="8" spans="1:9" x14ac:dyDescent="0.25">
      <c r="A8" s="21" t="s">
        <v>16</v>
      </c>
      <c r="B8" s="21"/>
      <c r="C8" s="8">
        <f>SUM(C6-C7)</f>
        <v>680000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380000</v>
      </c>
      <c r="D12" s="9"/>
      <c r="E12" s="5">
        <f>IF(B12&lt;&gt;"",C12-D12,"")</f>
        <v>380000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380000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380000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380000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380000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380000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380000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380000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380000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380000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380000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380000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380000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380000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380000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>
        <v>1000</v>
      </c>
      <c r="E27" s="5">
        <f t="shared" si="1"/>
        <v>379000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379000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379000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379000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379000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379000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379000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379000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379000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379000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379000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379000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379000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379000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379000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379000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379000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379000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379000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379000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379000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379000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379000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379000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379000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379000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379000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379000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379000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379000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379000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379000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379000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379000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379000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379000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379000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379000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379000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379000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379000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20000</v>
      </c>
      <c r="D68" s="9"/>
      <c r="E68" s="5">
        <f t="shared" si="1"/>
        <v>399000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20000</v>
      </c>
      <c r="D69" s="9"/>
      <c r="E69" s="5">
        <f t="shared" si="1"/>
        <v>419000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419000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419000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419000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419000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419000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21000</v>
      </c>
      <c r="D75" s="9"/>
      <c r="E75" s="5">
        <f t="shared" si="1"/>
        <v>440000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20000</v>
      </c>
      <c r="D76" s="9"/>
      <c r="E76" s="5">
        <f t="shared" si="1"/>
        <v>460000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20000</v>
      </c>
      <c r="D77" s="9"/>
      <c r="E77" s="5">
        <f t="shared" si="1"/>
        <v>480000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20000</v>
      </c>
      <c r="D78" s="9"/>
      <c r="E78" s="5">
        <f t="shared" si="1"/>
        <v>500000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20000</v>
      </c>
      <c r="D89" s="9"/>
      <c r="E89" s="5">
        <f t="shared" si="3"/>
        <v>520000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20000</v>
      </c>
      <c r="D91" s="9"/>
      <c r="E91" s="5">
        <f t="shared" si="3"/>
        <v>540000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20000</v>
      </c>
      <c r="D92" s="9"/>
      <c r="E92" s="5">
        <f t="shared" si="3"/>
        <v>560000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20000</v>
      </c>
      <c r="D93" s="9"/>
      <c r="E93" s="5">
        <f t="shared" si="3"/>
        <v>580000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20000</v>
      </c>
      <c r="D97" s="9"/>
      <c r="E97" s="5">
        <f t="shared" si="3"/>
        <v>600000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20000</v>
      </c>
      <c r="D98" s="9"/>
      <c r="E98" s="5">
        <f t="shared" si="3"/>
        <v>620000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20000</v>
      </c>
      <c r="D100" s="9"/>
      <c r="E100" s="5">
        <f t="shared" si="3"/>
        <v>640000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20000</v>
      </c>
      <c r="D104" s="9"/>
      <c r="E104" s="5">
        <f t="shared" si="3"/>
        <v>660000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20000</v>
      </c>
      <c r="D106" s="9"/>
      <c r="E106" s="5">
        <f t="shared" si="3"/>
        <v>680000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680000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MUHAMMAD LATIF IWANSYAH</v>
      </c>
    </row>
    <row r="4" spans="1:9" x14ac:dyDescent="0.25">
      <c r="A4" s="21" t="s">
        <v>5</v>
      </c>
      <c r="B4" s="21"/>
      <c r="C4" s="4">
        <f>Sheet1!B28</f>
        <v>241001513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3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NAYLA DESTIASARI</v>
      </c>
    </row>
    <row r="4" spans="1:9" x14ac:dyDescent="0.25">
      <c r="A4" s="21" t="s">
        <v>5</v>
      </c>
      <c r="B4" s="21"/>
      <c r="C4" s="4">
        <f>Sheet1!B29</f>
        <v>241001514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25000</v>
      </c>
    </row>
    <row r="8" spans="1:9" x14ac:dyDescent="0.25">
      <c r="A8" s="21" t="s">
        <v>16</v>
      </c>
      <c r="B8" s="21"/>
      <c r="C8" s="8">
        <f>SUM(C6-C7)</f>
        <v>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25000</v>
      </c>
      <c r="D12" s="9"/>
      <c r="E12" s="5">
        <f>IF(B12&lt;&gt;"",C12-D12,"")</f>
        <v>25000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10000</v>
      </c>
      <c r="D23" s="9"/>
      <c r="E23" s="5">
        <f t="shared" si="1"/>
        <v>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>
        <v>20000</v>
      </c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>
        <v>5000</v>
      </c>
      <c r="E40" s="5">
        <f t="shared" si="1"/>
        <v>15000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15000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NOPAL</v>
      </c>
    </row>
    <row r="4" spans="1:9" x14ac:dyDescent="0.25">
      <c r="A4" s="21" t="s">
        <v>5</v>
      </c>
      <c r="B4" s="21"/>
      <c r="C4" s="4">
        <f>Sheet1!B30</f>
        <v>241001515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RADITYA IRAWAN</v>
      </c>
    </row>
    <row r="4" spans="1:9" x14ac:dyDescent="0.25">
      <c r="A4" s="21" t="s">
        <v>5</v>
      </c>
      <c r="B4" s="21"/>
      <c r="C4" s="4">
        <f>Sheet1!B31</f>
        <v>241001516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RANGGA KUSUMA</v>
      </c>
    </row>
    <row r="4" spans="1:9" x14ac:dyDescent="0.25">
      <c r="A4" s="21" t="s">
        <v>5</v>
      </c>
      <c r="B4" s="21"/>
      <c r="C4" s="4">
        <f>Sheet1!B32</f>
        <v>241001517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50000</v>
      </c>
      <c r="D12" s="9"/>
      <c r="E12" s="5">
        <f>IF(B12&lt;&gt;"",C12-D12,"")</f>
        <v>50000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RIZKI PRATAMA</v>
      </c>
    </row>
    <row r="4" spans="1:9" x14ac:dyDescent="0.25">
      <c r="A4" s="21" t="s">
        <v>5</v>
      </c>
      <c r="B4" s="21"/>
      <c r="C4" s="4">
        <f>Sheet1!B33</f>
        <v>241001518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99" activePane="bottomRight" state="frozen"/>
      <selection pane="topRight" activeCell="B1" sqref="B1"/>
      <selection pane="bottomLeft" activeCell="A12" sqref="A12"/>
      <selection pane="bottomRight" activeCell="D107" sqref="D10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SELVI ZAHRA ARIANI</v>
      </c>
    </row>
    <row r="4" spans="1:9" x14ac:dyDescent="0.25">
      <c r="A4" s="21" t="s">
        <v>5</v>
      </c>
      <c r="B4" s="21"/>
      <c r="C4" s="4">
        <f>Sheet1!B34</f>
        <v>241001527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175000</v>
      </c>
    </row>
    <row r="7" spans="1:9" x14ac:dyDescent="0.25">
      <c r="A7" s="21" t="s">
        <v>15</v>
      </c>
      <c r="B7" s="21"/>
      <c r="C7" s="8">
        <f>SUM(D12:D376)</f>
        <v>95000</v>
      </c>
    </row>
    <row r="8" spans="1:9" x14ac:dyDescent="0.25">
      <c r="A8" s="21" t="s">
        <v>16</v>
      </c>
      <c r="B8" s="21"/>
      <c r="C8" s="8">
        <f>SUM(C6-C7)</f>
        <v>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100000</v>
      </c>
      <c r="D12" s="9"/>
      <c r="E12" s="5">
        <f>IF(B12&lt;&gt;"",C12-D12,"")</f>
        <v>100000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>
        <v>95000</v>
      </c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15000</v>
      </c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15000</v>
      </c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20000</v>
      </c>
      <c r="D105" s="9"/>
      <c r="E105" s="5">
        <f t="shared" si="3"/>
        <v>60000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20000</v>
      </c>
      <c r="D106" s="9"/>
      <c r="E106" s="5">
        <f t="shared" si="3"/>
        <v>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24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SITI AISYAH</v>
      </c>
    </row>
    <row r="4" spans="1:9" x14ac:dyDescent="0.25">
      <c r="A4" s="21" t="s">
        <v>5</v>
      </c>
      <c r="B4" s="21"/>
      <c r="C4" s="4">
        <f>Sheet1!B35</f>
        <v>241001519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20000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>
        <v>5000</v>
      </c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10000</v>
      </c>
      <c r="D28" s="9"/>
      <c r="E28" s="5">
        <f t="shared" si="1"/>
        <v>30000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35000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>
        <v>20000</v>
      </c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21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SITI NUR ANISSA</v>
      </c>
    </row>
    <row r="4" spans="1:9" x14ac:dyDescent="0.25">
      <c r="A4" s="21" t="s">
        <v>5</v>
      </c>
      <c r="B4" s="21"/>
      <c r="C4" s="4">
        <f>Sheet1!B36</f>
        <v>241001520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</v>
      </c>
      <c r="D12" s="9"/>
      <c r="E12" s="5">
        <f>IF(B12&lt;&gt;"",C12-D12,"")</f>
        <v>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99" activePane="bottomRight" state="frozen"/>
      <selection pane="topRight" activeCell="B1" sqref="B1"/>
      <selection pane="bottomLeft" activeCell="A12" sqref="A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SITI NUR DAVINA AZZAHRA</v>
      </c>
    </row>
    <row r="4" spans="1:9" x14ac:dyDescent="0.25">
      <c r="A4" s="21" t="s">
        <v>5</v>
      </c>
      <c r="B4" s="21"/>
      <c r="C4" s="4">
        <f>Sheet1!B37</f>
        <v>241001521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166000</v>
      </c>
    </row>
    <row r="7" spans="1:9" x14ac:dyDescent="0.25">
      <c r="A7" s="21" t="s">
        <v>15</v>
      </c>
      <c r="B7" s="21"/>
      <c r="C7" s="8">
        <f>SUM(D12:D376)</f>
        <v>51000</v>
      </c>
    </row>
    <row r="8" spans="1:9" x14ac:dyDescent="0.25">
      <c r="A8" s="21" t="s">
        <v>16</v>
      </c>
      <c r="B8" s="21"/>
      <c r="C8" s="8">
        <f>SUM(C6-C7)</f>
        <v>115000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110000</v>
      </c>
      <c r="D12" s="9"/>
      <c r="E12" s="5">
        <f>IF(B12&lt;&gt;"",C12-D12,"")</f>
        <v>110000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>
        <v>1000</v>
      </c>
      <c r="E21" s="5">
        <f t="shared" si="1"/>
        <v>109000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114000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6000</v>
      </c>
      <c r="D27" s="9"/>
      <c r="E27" s="5">
        <f t="shared" si="1"/>
        <v>120000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125000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125000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125000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125000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125000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130000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130000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130000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130000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130000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130000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130000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130000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130000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130000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10000</v>
      </c>
      <c r="D69" s="9"/>
      <c r="E69" s="5">
        <f t="shared" si="1"/>
        <v>145000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145000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145000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150000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>
        <v>50000</v>
      </c>
      <c r="E77" s="5">
        <f t="shared" si="1"/>
        <v>100000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105000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110000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110000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115000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115000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SUTIYADI</v>
      </c>
    </row>
    <row r="4" spans="1:9" x14ac:dyDescent="0.25">
      <c r="A4" s="21" t="s">
        <v>5</v>
      </c>
      <c r="B4" s="21"/>
      <c r="C4" s="4">
        <f>Sheet1!B38</f>
        <v>241001522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Sheet1!C39</f>
        <v>31</v>
      </c>
    </row>
    <row r="4" spans="1:9" x14ac:dyDescent="0.25">
      <c r="A4" s="21" t="s">
        <v>5</v>
      </c>
      <c r="B4" s="21"/>
      <c r="C4" s="4">
        <f>Sheet1!B39</f>
        <v>31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Sheet1!C40</f>
        <v>32</v>
      </c>
    </row>
    <row r="4" spans="1:9" x14ac:dyDescent="0.25">
      <c r="A4" s="21" t="s">
        <v>5</v>
      </c>
      <c r="B4" s="21"/>
      <c r="C4" s="4">
        <f>Sheet1!B40</f>
        <v>32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Sheet1!C41</f>
        <v>33</v>
      </c>
    </row>
    <row r="4" spans="1:9" x14ac:dyDescent="0.25">
      <c r="A4" s="21" t="s">
        <v>5</v>
      </c>
      <c r="B4" s="21"/>
      <c r="C4" s="4">
        <f>Sheet1!B41</f>
        <v>33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Sheet1!C42</f>
        <v>34</v>
      </c>
    </row>
    <row r="4" spans="1:9" x14ac:dyDescent="0.25">
      <c r="A4" s="21" t="s">
        <v>5</v>
      </c>
      <c r="B4" s="21"/>
      <c r="C4" s="4">
        <f>Sheet1!B42</f>
        <v>34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Sheet1!C43</f>
        <v>35</v>
      </c>
    </row>
    <row r="4" spans="1:9" x14ac:dyDescent="0.25">
      <c r="A4" s="21" t="s">
        <v>5</v>
      </c>
      <c r="B4" s="21"/>
      <c r="C4" s="4">
        <f>Sheet1!B43</f>
        <v>35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Sheet1!C44</f>
        <v>36</v>
      </c>
    </row>
    <row r="4" spans="1:9" x14ac:dyDescent="0.25">
      <c r="A4" s="21" t="s">
        <v>5</v>
      </c>
      <c r="B4" s="21"/>
      <c r="C4" s="4">
        <f>Sheet1!B44</f>
        <v>36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Sheet1!C45</f>
        <v>37</v>
      </c>
    </row>
    <row r="4" spans="1:9" x14ac:dyDescent="0.25">
      <c r="A4" s="21" t="s">
        <v>5</v>
      </c>
      <c r="B4" s="21"/>
      <c r="C4" s="4">
        <f>Sheet1!B45</f>
        <v>37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 - PM 2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2025-05-30T06:16:04Z</cp:lastPrinted>
  <dcterms:created xsi:type="dcterms:W3CDTF">2025-05-29T06:07:24Z</dcterms:created>
  <dcterms:modified xsi:type="dcterms:W3CDTF">2025-10-16T03:10:32Z</dcterms:modified>
</cp:coreProperties>
</file>