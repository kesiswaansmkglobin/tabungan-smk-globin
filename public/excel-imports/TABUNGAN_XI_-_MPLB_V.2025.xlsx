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-105" yWindow="-105" windowWidth="19425" windowHeight="1030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38" i="1"/>
  <c r="F37" i="1"/>
  <c r="F31" i="1"/>
  <c r="F27" i="1"/>
  <c r="F23" i="1"/>
  <c r="F16" i="1"/>
  <c r="F13" i="1"/>
  <c r="F10" i="1"/>
  <c r="E57" i="1"/>
  <c r="E56" i="1"/>
  <c r="E55" i="1"/>
  <c r="E54" i="1"/>
  <c r="E53" i="1"/>
  <c r="E51" i="1"/>
  <c r="E49" i="1"/>
  <c r="E46" i="1"/>
  <c r="E45" i="1"/>
  <c r="E44" i="1"/>
  <c r="E43" i="1"/>
  <c r="E41" i="1"/>
  <c r="E38" i="1"/>
  <c r="E37" i="1"/>
  <c r="E36" i="1"/>
  <c r="E35" i="1"/>
  <c r="E33" i="1"/>
  <c r="E32" i="1"/>
  <c r="E31" i="1"/>
  <c r="E30" i="1"/>
  <c r="E29" i="1"/>
  <c r="E28" i="1"/>
  <c r="E27" i="1"/>
  <c r="E26" i="1"/>
  <c r="E25" i="1"/>
  <c r="E24" i="1"/>
  <c r="E23" i="1"/>
  <c r="E22" i="1"/>
  <c r="E18" i="1"/>
  <c r="E16" i="1"/>
  <c r="E15" i="1"/>
  <c r="E14" i="1"/>
  <c r="E13" i="1"/>
  <c r="E10" i="1"/>
  <c r="D57" i="1"/>
  <c r="D56" i="1"/>
  <c r="D55" i="1"/>
  <c r="D54" i="1"/>
  <c r="D53" i="1"/>
  <c r="D42" i="1"/>
  <c r="D38" i="1"/>
  <c r="D37" i="1"/>
  <c r="D33" i="1"/>
  <c r="D31" i="1"/>
  <c r="D29" i="1"/>
  <c r="D27" i="1"/>
  <c r="D25" i="1"/>
  <c r="D23" i="1"/>
  <c r="D22" i="1"/>
  <c r="D16" i="1"/>
  <c r="D13" i="1"/>
  <c r="D10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E13" i="57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13" i="57"/>
  <c r="E12" i="57"/>
  <c r="A12" i="57"/>
  <c r="C8" i="57"/>
  <c r="F22" i="1" s="1"/>
  <c r="C7" i="57"/>
  <c r="C6" i="57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E12" i="56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12" i="56"/>
  <c r="C7" i="56"/>
  <c r="E21" i="1" s="1"/>
  <c r="C6" i="56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E12" i="55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12" i="55"/>
  <c r="C7" i="55"/>
  <c r="E20" i="1" s="1"/>
  <c r="C6" i="55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E12" i="54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2" i="54"/>
  <c r="C7" i="54"/>
  <c r="E19" i="1" s="1"/>
  <c r="C6" i="54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E28" i="53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12" i="52"/>
  <c r="C7" i="52"/>
  <c r="E17" i="1" s="1"/>
  <c r="C6" i="52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E21" i="5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A13" i="51"/>
  <c r="E12" i="51"/>
  <c r="A12" i="51"/>
  <c r="C8" i="51"/>
  <c r="C7" i="51"/>
  <c r="C6" i="5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E18" i="50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8" i="50"/>
  <c r="A17" i="50"/>
  <c r="E16" i="50"/>
  <c r="E17" i="50" s="1"/>
  <c r="A16" i="50"/>
  <c r="A15" i="50"/>
  <c r="E14" i="50"/>
  <c r="E15" i="50" s="1"/>
  <c r="A14" i="50"/>
  <c r="A13" i="50"/>
  <c r="E12" i="50"/>
  <c r="E13" i="50" s="1"/>
  <c r="A12" i="50"/>
  <c r="C7" i="50"/>
  <c r="C6" i="50"/>
  <c r="C8" i="50" s="1"/>
  <c r="F15" i="1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E12" i="49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2" i="49"/>
  <c r="C7" i="49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E12" i="47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2" i="47"/>
  <c r="C7" i="47"/>
  <c r="E12" i="1" s="1"/>
  <c r="C6" i="47"/>
  <c r="D12" i="1" s="1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E11" i="1" s="1"/>
  <c r="C6" i="46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E15" i="45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5" i="45"/>
  <c r="A14" i="45"/>
  <c r="E13" i="45"/>
  <c r="E14" i="45" s="1"/>
  <c r="A13" i="45"/>
  <c r="E12" i="45"/>
  <c r="A12" i="45"/>
  <c r="C7" i="45"/>
  <c r="C8" i="45" s="1"/>
  <c r="C6" i="45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E15" i="44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15" i="44"/>
  <c r="A14" i="44"/>
  <c r="E13" i="44"/>
  <c r="E14" i="44" s="1"/>
  <c r="A13" i="44"/>
  <c r="E12" i="44"/>
  <c r="A12" i="44"/>
  <c r="C7" i="44"/>
  <c r="C6" i="44"/>
  <c r="D32" i="1" s="1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E41" i="43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E17" i="43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A17" i="43"/>
  <c r="A16" i="43"/>
  <c r="E15" i="43"/>
  <c r="E16" i="43" s="1"/>
  <c r="A15" i="43"/>
  <c r="A14" i="43"/>
  <c r="E13" i="43"/>
  <c r="E14" i="43" s="1"/>
  <c r="A13" i="43"/>
  <c r="E12" i="43"/>
  <c r="A12" i="43"/>
  <c r="C8" i="43"/>
  <c r="C7" i="43"/>
  <c r="C6" i="43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F30" i="1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E109" i="41" s="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2" i="41"/>
  <c r="C7" i="41"/>
  <c r="C6" i="4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E14" i="40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14" i="40"/>
  <c r="A13" i="40"/>
  <c r="E12" i="40"/>
  <c r="E13" i="40" s="1"/>
  <c r="A12" i="40"/>
  <c r="C7" i="40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E229" i="39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E13" i="39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A13" i="39"/>
  <c r="E12" i="39"/>
  <c r="A12" i="39"/>
  <c r="C8" i="39"/>
  <c r="C7" i="39"/>
  <c r="C6" i="39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E12" i="38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2" i="38"/>
  <c r="C7" i="38"/>
  <c r="C6" i="38"/>
  <c r="C8" i="38" s="1"/>
  <c r="F26" i="1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E12" i="37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2" i="37"/>
  <c r="C7" i="37"/>
  <c r="C6" i="37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E13" i="35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3" i="35"/>
  <c r="E12" i="35"/>
  <c r="A12" i="35"/>
  <c r="C7" i="35"/>
  <c r="C8" i="35" s="1"/>
  <c r="C6" i="35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16" i="34"/>
  <c r="A15" i="34"/>
  <c r="E14" i="34"/>
  <c r="E15" i="34" s="1"/>
  <c r="A14" i="34"/>
  <c r="A13" i="34"/>
  <c r="E12" i="34"/>
  <c r="E13" i="34" s="1"/>
  <c r="A12" i="34"/>
  <c r="C7" i="34"/>
  <c r="E42" i="1" s="1"/>
  <c r="C6" i="34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E12" i="33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2" i="33"/>
  <c r="C7" i="33"/>
  <c r="C6" i="33"/>
  <c r="D41" i="1" s="1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E12" i="32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2" i="32"/>
  <c r="C7" i="32"/>
  <c r="E40" i="1" s="1"/>
  <c r="C6" i="32"/>
  <c r="C8" i="32" s="1"/>
  <c r="F40" i="1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E12" i="3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2" i="31"/>
  <c r="C7" i="31"/>
  <c r="E39" i="1" s="1"/>
  <c r="C6" i="31"/>
  <c r="D39" i="1" s="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E23" i="30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23" i="30"/>
  <c r="A22" i="30"/>
  <c r="A21" i="30"/>
  <c r="A20" i="30"/>
  <c r="A19" i="30"/>
  <c r="A18" i="30"/>
  <c r="A17" i="30"/>
  <c r="A16" i="30"/>
  <c r="A15" i="30"/>
  <c r="A14" i="30"/>
  <c r="E13" i="30"/>
  <c r="E14" i="30" s="1"/>
  <c r="E15" i="30" s="1"/>
  <c r="E16" i="30" s="1"/>
  <c r="E17" i="30" s="1"/>
  <c r="E18" i="30" s="1"/>
  <c r="E19" i="30" s="1"/>
  <c r="E20" i="30" s="1"/>
  <c r="E21" i="30" s="1"/>
  <c r="E22" i="30" s="1"/>
  <c r="A13" i="30"/>
  <c r="E12" i="30"/>
  <c r="A12" i="30"/>
  <c r="C8" i="30"/>
  <c r="C7" i="30"/>
  <c r="C6" i="30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E18" i="29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8" i="29"/>
  <c r="A17" i="29"/>
  <c r="E16" i="29"/>
  <c r="E17" i="29" s="1"/>
  <c r="A16" i="29"/>
  <c r="A15" i="29"/>
  <c r="E14" i="29"/>
  <c r="E15" i="29" s="1"/>
  <c r="A14" i="29"/>
  <c r="A13" i="29"/>
  <c r="E12" i="29"/>
  <c r="E13" i="29" s="1"/>
  <c r="A12" i="29"/>
  <c r="C7" i="29"/>
  <c r="C6" i="29"/>
  <c r="C8" i="29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E12" i="28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2" i="28"/>
  <c r="C7" i="28"/>
  <c r="C6" i="28"/>
  <c r="D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12" i="27"/>
  <c r="C7" i="27"/>
  <c r="C6" i="27"/>
  <c r="C8" i="27" s="1"/>
  <c r="F35" i="1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E12" i="26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2" i="26"/>
  <c r="C7" i="26"/>
  <c r="E34" i="1" s="1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14" i="23"/>
  <c r="A13" i="23"/>
  <c r="E12" i="23"/>
  <c r="E13" i="23" s="1"/>
  <c r="A12" i="23"/>
  <c r="C7" i="23"/>
  <c r="E52" i="1" s="1"/>
  <c r="C6" i="23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E12" i="22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E365" i="22" s="1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12" i="22"/>
  <c r="C7" i="22"/>
  <c r="C6" i="22"/>
  <c r="D51" i="1" s="1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E13" i="2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3" i="21"/>
  <c r="E12" i="21"/>
  <c r="A12" i="21"/>
  <c r="C8" i="21"/>
  <c r="F50" i="1" s="1"/>
  <c r="C7" i="21"/>
  <c r="E50" i="1" s="1"/>
  <c r="C6" i="21"/>
  <c r="D50" i="1" s="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2" i="20"/>
  <c r="C7" i="20"/>
  <c r="C6" i="20"/>
  <c r="C8" i="20" s="1"/>
  <c r="F49" i="1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E14" i="19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14" i="19"/>
  <c r="A13" i="19"/>
  <c r="E12" i="19"/>
  <c r="E13" i="19" s="1"/>
  <c r="A12" i="19"/>
  <c r="C7" i="19"/>
  <c r="E48" i="1" s="1"/>
  <c r="C6" i="19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E12" i="18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2" i="18"/>
  <c r="C7" i="18"/>
  <c r="E47" i="1" s="1"/>
  <c r="C6" i="18"/>
  <c r="D47" i="1" s="1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F46" i="1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E12" i="16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2" i="16"/>
  <c r="C7" i="16"/>
  <c r="C6" i="16"/>
  <c r="C8" i="16" s="1"/>
  <c r="F45" i="1" s="1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F44" i="1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E12" i="14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2" i="14"/>
  <c r="C7" i="14"/>
  <c r="C6" i="14"/>
  <c r="D43" i="1" s="1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C8" i="22" l="1"/>
  <c r="F51" i="1" s="1"/>
  <c r="D46" i="1"/>
  <c r="C8" i="23"/>
  <c r="F52" i="1" s="1"/>
  <c r="D15" i="1"/>
  <c r="D52" i="1"/>
  <c r="D49" i="1"/>
  <c r="D44" i="1"/>
  <c r="C8" i="14"/>
  <c r="F43" i="1" s="1"/>
  <c r="C8" i="33"/>
  <c r="F41" i="1" s="1"/>
  <c r="D40" i="1"/>
  <c r="C8" i="31"/>
  <c r="F39" i="1" s="1"/>
  <c r="D35" i="1"/>
  <c r="C8" i="44"/>
  <c r="F32" i="1" s="1"/>
  <c r="D30" i="1"/>
  <c r="D26" i="1"/>
  <c r="C8" i="37"/>
  <c r="F25" i="1" s="1"/>
  <c r="D24" i="1"/>
  <c r="C8" i="28"/>
  <c r="F36" i="1" s="1"/>
  <c r="D45" i="1"/>
  <c r="C8" i="47"/>
  <c r="F12" i="1" s="1"/>
  <c r="C8" i="26"/>
  <c r="F34" i="1" s="1"/>
  <c r="C8" i="54"/>
  <c r="F19" i="1" s="1"/>
  <c r="D19" i="1"/>
  <c r="C8" i="55"/>
  <c r="F20" i="1" s="1"/>
  <c r="D20" i="1"/>
  <c r="C8" i="46"/>
  <c r="F11" i="1" s="1"/>
  <c r="D11" i="1"/>
  <c r="C8" i="49"/>
  <c r="F14" i="1" s="1"/>
  <c r="C8" i="25"/>
  <c r="F33" i="1" s="1"/>
  <c r="C8" i="18"/>
  <c r="F47" i="1" s="1"/>
  <c r="C8" i="56"/>
  <c r="F21" i="1" s="1"/>
  <c r="D21" i="1"/>
  <c r="C8" i="52"/>
  <c r="F17" i="1" s="1"/>
  <c r="D17" i="1"/>
  <c r="C8" i="19"/>
  <c r="F48" i="1" s="1"/>
  <c r="D48" i="1"/>
  <c r="C8" i="53"/>
  <c r="F18" i="1" s="1"/>
  <c r="C8" i="40"/>
  <c r="F28" i="1" s="1"/>
  <c r="C8" i="41"/>
  <c r="F29" i="1" s="1"/>
  <c r="C8" i="34"/>
  <c r="F42" i="1" s="1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<sst xmlns="http://schemas.openxmlformats.org/spreadsheetml/2006/main" count="662" uniqueCount="69">
  <si>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</si>
  <si>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</si>
  <si>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</si>
  <si>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</si>
  <si>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</si>
  <si>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</si>
  <si>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</si>
  <si>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</si>
  <si>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</si>
  <si>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</si>
  <si>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</si>
  <si>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</si>
  <si>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</si>
  <si>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</si>
  <si>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</si>
  <si>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</si>
  <si>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</si>
  <si>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</si>
  <si>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</si>
  <si>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</si>
  <si>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</si>
  <si>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</si>
  <si>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AHMAD SOBBIRIN</t>
  </si>
  <si>
    <t>ARIEL FAHRIANSACH</t>
  </si>
  <si>
    <t>AXSAL</t>
  </si>
  <si>
    <t>BUNGA SELIA PRATIWI</t>
  </si>
  <si>
    <t>DEVINA APRIYANI</t>
  </si>
  <si>
    <t>FATIMAH EKA ARDIANTHY</t>
  </si>
  <si>
    <t>HERI PRASETYO</t>
  </si>
  <si>
    <t>IRFA NURUL AINI</t>
  </si>
  <si>
    <t>JENNY PEBRIANTI</t>
  </si>
  <si>
    <t>JIHAN MUTIARA</t>
  </si>
  <si>
    <t>KEYSYA ANAYA ALFARIJAL</t>
  </si>
  <si>
    <t>MESHA JULIA PUTRI</t>
  </si>
  <si>
    <t>MINI</t>
  </si>
  <si>
    <t>MUHAMAD AIDIN SYAHPUTRA</t>
  </si>
  <si>
    <t>MUHAMAD AKBAR MAULANA</t>
  </si>
  <si>
    <t>MUHAMAD AL ANDRI</t>
  </si>
  <si>
    <t>MUHAMAD DANU PIRANSYAH</t>
  </si>
  <si>
    <t>MUHAMAD FADLI AL HARIS</t>
  </si>
  <si>
    <t>MUHAMAD FAQIIH AMAANULLAH</t>
  </si>
  <si>
    <t>MUHAMAD FINO SYAHRAM</t>
  </si>
  <si>
    <t>MUHAMAD PERDI</t>
  </si>
  <si>
    <t>MUHAMAD SIGIT SAPUTRA</t>
  </si>
  <si>
    <t>MUHAMAD SUHEBI</t>
  </si>
  <si>
    <t>MUHAMMAD ILHAM PRATAMA</t>
  </si>
  <si>
    <t>MUL ILHAM</t>
  </si>
  <si>
    <t>NATASYA AULIA PUTRI</t>
  </si>
  <si>
    <t>NINGRUM ASSYIFAH</t>
  </si>
  <si>
    <t>NJAY</t>
  </si>
  <si>
    <t>NUR SARI</t>
  </si>
  <si>
    <t>PUTRI AMANDA JULIANTI</t>
  </si>
  <si>
    <t>RADINKA NAZWA MAULIDA</t>
  </si>
  <si>
    <t>RAHMAYANI INTANIA</t>
  </si>
  <si>
    <t>REVAN RIDO SAPUTRA</t>
  </si>
  <si>
    <t>RICO SETIAWAN</t>
  </si>
  <si>
    <t>RIPKI ANGGARA</t>
  </si>
  <si>
    <t>RIVA KURNIANTO</t>
  </si>
  <si>
    <t>RIZKY FADHILLAH</t>
  </si>
  <si>
    <t>SAVRILIA AULINA</t>
  </si>
  <si>
    <t>SENA MARSELINA</t>
  </si>
  <si>
    <t>SINTIA AGUSTINA</t>
  </si>
  <si>
    <t>SITI NAZWA AULIA</t>
  </si>
  <si>
    <t>SITI SERUNI</t>
  </si>
  <si>
    <t>SITI ZAHRA AULIA</t>
  </si>
  <si>
    <t>UNASIH TASYA</t>
  </si>
  <si>
    <t>XI - MPLB</t>
  </si>
  <si>
    <t>Saldo Tahun 2024/2025</t>
  </si>
  <si>
    <t>Biaya Buku Tabungan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</si>
</sst>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9" activePane="bottomRight" state="frozen"/>
      <selection activeCell="C12" sqref="C12"/>
      <selection pane="topRight" activeCell="C12" sqref="C12"/>
      <selection pane="bottomLeft" activeCell="C12" sqref="C12"/>
      <selection pane="bottomRight" activeCell="E45" sqref="E45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9" t="s">
        <v>0</v>
      </c>
      <c r="B1" s="19"/>
      <c r="C1" s="19"/>
      <c r="D1" s="19"/>
      <c r="E1" s="19"/>
      <c r="F1" s="19"/>
    </row>
    <row r="2" spans="1:10" ht="18.75" x14ac:dyDescent="0.25">
      <c r="A2" s="19" t="s">
        <v>11</v>
      </c>
      <c r="B2" s="19"/>
      <c r="C2" s="19"/>
      <c r="D2" s="19"/>
      <c r="E2" s="19"/>
      <c r="F2" s="19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20" t="s">
        <v>1</v>
      </c>
      <c r="B4" s="20"/>
      <c r="C4" s="15" t="s">
        <v>66</v>
      </c>
      <c r="D4" s="10"/>
      <c r="E4" s="10"/>
      <c r="F4" s="10"/>
    </row>
    <row r="5" spans="1:10" x14ac:dyDescent="0.25">
      <c r="A5" s="20" t="s">
        <v>2</v>
      </c>
      <c r="B5" s="20"/>
      <c r="C5" s="15" t="s">
        <v>10</v>
      </c>
      <c r="D5" s="10"/>
      <c r="E5" s="10"/>
      <c r="F5" s="10"/>
    </row>
    <row r="6" spans="1:10" x14ac:dyDescent="0.25">
      <c r="A6" s="20" t="s">
        <v>3</v>
      </c>
      <c r="B6" s="20"/>
      <c r="C6" s="16">
        <f>SUM(F9:F58)</f>
        <v>2523000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241001413</v>
      </c>
      <c r="C9" s="12" t="s">
        <v>22</v>
      </c>
      <c r="D9" s="14">
        <f>'1'!C6</f>
        <v>0</v>
      </c>
      <c r="E9" s="14">
        <f>'1'!C7</f>
        <v>0</v>
      </c>
      <c r="F9" s="14">
        <f>'1'!C8</f>
        <v>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241001414</v>
      </c>
      <c r="C10" s="12" t="s">
        <v>23</v>
      </c>
      <c r="D10" s="14">
        <f>'2'!C6</f>
        <v>0</v>
      </c>
      <c r="E10" s="14">
        <f>'2'!C7</f>
        <v>0</v>
      </c>
      <c r="F10" s="14">
        <f>'2'!C8</f>
        <v>0</v>
      </c>
      <c r="H10" s="13"/>
      <c r="I10" s="13"/>
      <c r="J10" s="13"/>
    </row>
    <row r="11" spans="1:10" x14ac:dyDescent="0.25">
      <c r="A11" s="2">
        <f t="shared" si="0"/>
        <v>3</v>
      </c>
      <c r="B11" s="11">
        <v>241001415</v>
      </c>
      <c r="C11" s="12" t="s">
        <v>24</v>
      </c>
      <c r="D11" s="14">
        <f>'3'!C6</f>
        <v>285000</v>
      </c>
      <c r="E11" s="14">
        <f>'3'!C7</f>
        <v>1000</v>
      </c>
      <c r="F11" s="14">
        <f>'3'!C8</f>
        <v>284000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241001416</v>
      </c>
      <c r="C12" s="12" t="s">
        <v>25</v>
      </c>
      <c r="D12" s="14">
        <f>'4'!C6</f>
        <v>10000</v>
      </c>
      <c r="E12" s="14">
        <f>'4'!C7</f>
        <v>1000</v>
      </c>
      <c r="F12" s="14">
        <f>'4'!C8</f>
        <v>9000</v>
      </c>
      <c r="H12" s="13"/>
      <c r="I12" s="13"/>
      <c r="J12" s="13"/>
    </row>
    <row r="13" spans="1:10" x14ac:dyDescent="0.25">
      <c r="A13" s="2">
        <f t="shared" si="0"/>
        <v>5</v>
      </c>
      <c r="B13" s="11">
        <v>241001417</v>
      </c>
      <c r="C13" s="12" t="s">
        <v>26</v>
      </c>
      <c r="D13" s="14">
        <f>'5'!C6</f>
        <v>0</v>
      </c>
      <c r="E13" s="14">
        <f>'5'!C7</f>
        <v>0</v>
      </c>
      <c r="F13" s="14">
        <f>'5'!C8</f>
        <v>0</v>
      </c>
      <c r="H13" s="13"/>
      <c r="I13" s="13"/>
      <c r="J13" s="13"/>
    </row>
    <row r="14" spans="1:10" x14ac:dyDescent="0.25">
      <c r="A14" s="2">
        <f t="shared" si="0"/>
        <v>6</v>
      </c>
      <c r="B14" s="11">
        <v>241001418</v>
      </c>
      <c r="C14" s="12" t="s">
        <v>27</v>
      </c>
      <c r="D14" s="14">
        <f>'6'!C6</f>
        <v>265000</v>
      </c>
      <c r="E14" s="14">
        <f>'6'!C7</f>
        <v>0</v>
      </c>
      <c r="F14" s="14">
        <f>'6'!C8</f>
        <v>265000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241001419</v>
      </c>
      <c r="C15" s="12" t="s">
        <v>28</v>
      </c>
      <c r="D15" s="14">
        <f>'7'!C6</f>
        <v>25000</v>
      </c>
      <c r="E15" s="14">
        <f>'7'!C7</f>
        <v>0</v>
      </c>
      <c r="F15" s="14">
        <f>'7'!C8</f>
        <v>25000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241001420</v>
      </c>
      <c r="C16" s="12" t="s">
        <v>29</v>
      </c>
      <c r="D16" s="14">
        <f>'8'!C6</f>
        <v>0</v>
      </c>
      <c r="E16" s="14">
        <f>'8'!C7</f>
        <v>0</v>
      </c>
      <c r="F16" s="14">
        <f>'8'!C8</f>
        <v>0</v>
      </c>
      <c r="H16" s="13"/>
      <c r="I16" s="13"/>
      <c r="J16" s="13"/>
    </row>
    <row r="17" spans="1:10" x14ac:dyDescent="0.25">
      <c r="A17" s="2">
        <f t="shared" si="0"/>
        <v>9</v>
      </c>
      <c r="B17" s="11">
        <v>241001421</v>
      </c>
      <c r="C17" s="12" t="s">
        <v>30</v>
      </c>
      <c r="D17" s="14">
        <f>'9'!C6</f>
        <v>125000</v>
      </c>
      <c r="E17" s="14">
        <f>'9'!C7</f>
        <v>101000</v>
      </c>
      <c r="F17" s="14">
        <f>'9'!C8</f>
        <v>24000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241001422</v>
      </c>
      <c r="C18" s="12" t="s">
        <v>31</v>
      </c>
      <c r="D18" s="14">
        <f>'10'!C6</f>
        <v>10000</v>
      </c>
      <c r="E18" s="14">
        <f>'10'!C7</f>
        <v>0</v>
      </c>
      <c r="F18" s="14">
        <f>'10'!C8</f>
        <v>10000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241001423</v>
      </c>
      <c r="C19" s="12" t="s">
        <v>32</v>
      </c>
      <c r="D19" s="14">
        <f>'11'!C6</f>
        <v>116000</v>
      </c>
      <c r="E19" s="14">
        <f>'11'!C7</f>
        <v>101000</v>
      </c>
      <c r="F19" s="14">
        <f>'11'!C8</f>
        <v>15000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241001424</v>
      </c>
      <c r="C20" s="12" t="s">
        <v>33</v>
      </c>
      <c r="D20" s="14">
        <f>'12'!C6</f>
        <v>137000</v>
      </c>
      <c r="E20" s="14">
        <f>'12'!C7</f>
        <v>1000</v>
      </c>
      <c r="F20" s="14">
        <f>'12'!C8</f>
        <v>136000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241001425</v>
      </c>
      <c r="C21" s="12" t="s">
        <v>34</v>
      </c>
      <c r="D21" s="14">
        <f>'13'!C6</f>
        <v>40000</v>
      </c>
      <c r="E21" s="14">
        <f>'13'!C7</f>
        <v>1000</v>
      </c>
      <c r="F21" s="14">
        <f>'13'!C8</f>
        <v>39000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241001426</v>
      </c>
      <c r="C22" s="12" t="s">
        <v>35</v>
      </c>
      <c r="D22" s="14">
        <f>'14'!C6</f>
        <v>105000</v>
      </c>
      <c r="E22" s="14">
        <f>'14'!C7</f>
        <v>0</v>
      </c>
      <c r="F22" s="14">
        <f>'14'!C8</f>
        <v>105000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241001427</v>
      </c>
      <c r="C23" s="12" t="s">
        <v>36</v>
      </c>
      <c r="D23" s="14">
        <f>'15'!C6</f>
        <v>0</v>
      </c>
      <c r="E23" s="14">
        <f>'15'!C7</f>
        <v>0</v>
      </c>
      <c r="F23" s="14">
        <f>'15'!C8</f>
        <v>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241001428</v>
      </c>
      <c r="C24" s="12" t="s">
        <v>37</v>
      </c>
      <c r="D24" s="14">
        <f>'16'!C6</f>
        <v>55000</v>
      </c>
      <c r="E24" s="14">
        <f>'16'!C7</f>
        <v>0</v>
      </c>
      <c r="F24" s="14">
        <f>'16'!C8</f>
        <v>55000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241001429</v>
      </c>
      <c r="C25" s="12" t="s">
        <v>38</v>
      </c>
      <c r="D25" s="14">
        <f>'17'!C6</f>
        <v>40000</v>
      </c>
      <c r="E25" s="14">
        <f>'17'!C7</f>
        <v>0</v>
      </c>
      <c r="F25" s="14">
        <f>'17'!C8</f>
        <v>40000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241001430</v>
      </c>
      <c r="C26" s="12" t="s">
        <v>39</v>
      </c>
      <c r="D26" s="14">
        <f>'18'!C6</f>
        <v>5000</v>
      </c>
      <c r="E26" s="14">
        <f>'18'!C7</f>
        <v>0</v>
      </c>
      <c r="F26" s="14">
        <f>'18'!C8</f>
        <v>5000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241001431</v>
      </c>
      <c r="C27" s="12" t="s">
        <v>40</v>
      </c>
      <c r="D27" s="14">
        <f>'19'!C6</f>
        <v>0</v>
      </c>
      <c r="E27" s="14">
        <f>'19'!C7</f>
        <v>0</v>
      </c>
      <c r="F27" s="14">
        <f>'19'!C8</f>
        <v>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241001432</v>
      </c>
      <c r="C28" s="12" t="s">
        <v>41</v>
      </c>
      <c r="D28" s="14">
        <f>'20'!C6</f>
        <v>20000</v>
      </c>
      <c r="E28" s="14">
        <f>'20'!C7</f>
        <v>0</v>
      </c>
      <c r="F28" s="14">
        <f>'20'!C8</f>
        <v>20000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241001433</v>
      </c>
      <c r="C29" s="12" t="s">
        <v>42</v>
      </c>
      <c r="D29" s="14">
        <f>'21'!C6</f>
        <v>22000</v>
      </c>
      <c r="E29" s="14">
        <f>'21'!C7</f>
        <v>0</v>
      </c>
      <c r="F29" s="14">
        <f>'21'!C8</f>
        <v>22000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241001436</v>
      </c>
      <c r="C30" s="12" t="s">
        <v>43</v>
      </c>
      <c r="D30" s="14">
        <f>'22'!C6</f>
        <v>15000</v>
      </c>
      <c r="E30" s="14">
        <f>'22'!C7</f>
        <v>0</v>
      </c>
      <c r="F30" s="14">
        <f>'22'!C8</f>
        <v>15000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241001437</v>
      </c>
      <c r="C31" s="12" t="s">
        <v>44</v>
      </c>
      <c r="D31" s="14">
        <f>'23'!C6</f>
        <v>0</v>
      </c>
      <c r="E31" s="14">
        <f>'23'!C7</f>
        <v>0</v>
      </c>
      <c r="F31" s="14">
        <f>'23'!C8</f>
        <v>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241001438</v>
      </c>
      <c r="C32" s="12" t="s">
        <v>45</v>
      </c>
      <c r="D32" s="14">
        <f>'24'!C6</f>
        <v>5000</v>
      </c>
      <c r="E32" s="14">
        <f>'24'!C7</f>
        <v>0</v>
      </c>
      <c r="F32" s="14">
        <f>'24'!C8</f>
        <v>5000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241001439</v>
      </c>
      <c r="C33" s="12" t="s">
        <v>46</v>
      </c>
      <c r="D33" s="14">
        <f>'25'!C6</f>
        <v>120000</v>
      </c>
      <c r="E33" s="14">
        <f>'25'!C7</f>
        <v>1000</v>
      </c>
      <c r="F33" s="14">
        <f>'25'!C8</f>
        <v>119000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241001440</v>
      </c>
      <c r="C34" s="12" t="s">
        <v>47</v>
      </c>
      <c r="D34" s="14">
        <f>'26'!C6</f>
        <v>65000</v>
      </c>
      <c r="E34" s="14">
        <f>'26'!C7</f>
        <v>21000</v>
      </c>
      <c r="F34" s="14">
        <f>'26'!C8</f>
        <v>44000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241001441</v>
      </c>
      <c r="C35" s="12" t="s">
        <v>48</v>
      </c>
      <c r="D35" s="14">
        <f>'27'!C6</f>
        <v>138000</v>
      </c>
      <c r="E35" s="14">
        <f>'27'!C7</f>
        <v>0</v>
      </c>
      <c r="F35" s="14">
        <f>'27'!C8</f>
        <v>138000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241001442</v>
      </c>
      <c r="C36" s="12" t="s">
        <v>49</v>
      </c>
      <c r="D36" s="14">
        <f>'28'!C6</f>
        <v>90000</v>
      </c>
      <c r="E36" s="14">
        <f>'28'!C7</f>
        <v>0</v>
      </c>
      <c r="F36" s="14">
        <f>'28'!C8</f>
        <v>90000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241001443</v>
      </c>
      <c r="C37" s="12" t="s">
        <v>50</v>
      </c>
      <c r="D37" s="14">
        <f>'29'!C6</f>
        <v>0</v>
      </c>
      <c r="E37" s="14">
        <f>'29'!C7</f>
        <v>0</v>
      </c>
      <c r="F37" s="14">
        <f>'29'!C8</f>
        <v>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241001444</v>
      </c>
      <c r="C38" s="12" t="s">
        <v>51</v>
      </c>
      <c r="D38" s="14">
        <f>'30'!C6</f>
        <v>0</v>
      </c>
      <c r="E38" s="14">
        <f>'30'!C7</f>
        <v>0</v>
      </c>
      <c r="F38" s="14">
        <f>'30'!C8</f>
        <v>0</v>
      </c>
      <c r="H38" s="13"/>
      <c r="I38" s="13"/>
      <c r="J38" s="13"/>
    </row>
    <row r="39" spans="1:10" x14ac:dyDescent="0.25">
      <c r="A39" s="2">
        <f t="shared" si="0"/>
        <v>31</v>
      </c>
      <c r="B39" s="11">
        <v>241001445</v>
      </c>
      <c r="C39" s="12" t="s">
        <v>52</v>
      </c>
      <c r="D39" s="14">
        <f>'31'!C6</f>
        <v>160000</v>
      </c>
      <c r="E39" s="14">
        <f>'31'!C7</f>
        <v>125000</v>
      </c>
      <c r="F39" s="14">
        <f>'31'!C8</f>
        <v>35000</v>
      </c>
      <c r="H39" s="13"/>
      <c r="I39" s="13"/>
      <c r="J39" s="13"/>
    </row>
    <row r="40" spans="1:10" x14ac:dyDescent="0.25">
      <c r="A40" s="2">
        <f t="shared" si="0"/>
        <v>32</v>
      </c>
      <c r="B40" s="11">
        <v>241001446</v>
      </c>
      <c r="C40" s="12" t="s">
        <v>53</v>
      </c>
      <c r="D40" s="14">
        <f>'32'!C6</f>
        <v>70000</v>
      </c>
      <c r="E40" s="14">
        <f>'32'!C7</f>
        <v>50000</v>
      </c>
      <c r="F40" s="14">
        <f>'32'!C8</f>
        <v>20000</v>
      </c>
      <c r="H40" s="13"/>
      <c r="I40" s="13"/>
      <c r="J40" s="13"/>
    </row>
    <row r="41" spans="1:10" x14ac:dyDescent="0.25">
      <c r="A41" s="2">
        <f t="shared" si="0"/>
        <v>33</v>
      </c>
      <c r="B41" s="11">
        <v>241001447</v>
      </c>
      <c r="C41" s="12" t="s">
        <v>54</v>
      </c>
      <c r="D41" s="14">
        <f>'33'!C6</f>
        <v>20000</v>
      </c>
      <c r="E41" s="14">
        <f>'33'!C7</f>
        <v>0</v>
      </c>
      <c r="F41" s="14">
        <f>'33'!C8</f>
        <v>20000</v>
      </c>
      <c r="H41" s="13"/>
      <c r="I41" s="13"/>
      <c r="J41" s="13"/>
    </row>
    <row r="42" spans="1:10" x14ac:dyDescent="0.25">
      <c r="A42" s="2">
        <f t="shared" si="0"/>
        <v>34</v>
      </c>
      <c r="B42" s="11">
        <v>241001448</v>
      </c>
      <c r="C42" s="12" t="s">
        <v>55</v>
      </c>
      <c r="D42" s="14">
        <f>'34'!C6</f>
        <v>55000</v>
      </c>
      <c r="E42" s="14">
        <f>'34'!C7</f>
        <v>1000</v>
      </c>
      <c r="F42" s="14">
        <f>'34'!C8</f>
        <v>54000</v>
      </c>
      <c r="H42" s="13"/>
      <c r="I42" s="13"/>
      <c r="J42" s="13"/>
    </row>
    <row r="43" spans="1:10" x14ac:dyDescent="0.25">
      <c r="A43" s="2">
        <f t="shared" si="0"/>
        <v>35</v>
      </c>
      <c r="B43" s="11">
        <v>241001450</v>
      </c>
      <c r="C43" s="12" t="s">
        <v>56</v>
      </c>
      <c r="D43" s="14">
        <f>'35'!C6</f>
        <v>280000</v>
      </c>
      <c r="E43" s="14">
        <f>'35'!C7</f>
        <v>0</v>
      </c>
      <c r="F43" s="14">
        <f>'35'!C8</f>
        <v>280000</v>
      </c>
      <c r="H43" s="13"/>
      <c r="I43" s="13"/>
      <c r="J43" s="13"/>
    </row>
    <row r="44" spans="1:10" x14ac:dyDescent="0.25">
      <c r="A44" s="2">
        <f t="shared" si="0"/>
        <v>36</v>
      </c>
      <c r="B44" s="11">
        <v>241001451</v>
      </c>
      <c r="C44" s="12" t="s">
        <v>57</v>
      </c>
      <c r="D44" s="14">
        <f>'36'!C6</f>
        <v>41000</v>
      </c>
      <c r="E44" s="14">
        <f>'36'!C7</f>
        <v>0</v>
      </c>
      <c r="F44" s="14">
        <f>'36'!C8</f>
        <v>41000</v>
      </c>
      <c r="H44" s="13"/>
      <c r="I44" s="13"/>
      <c r="J44" s="13"/>
    </row>
    <row r="45" spans="1:10" x14ac:dyDescent="0.25">
      <c r="A45" s="2">
        <f t="shared" si="0"/>
        <v>37</v>
      </c>
      <c r="B45" s="11">
        <v>241001452</v>
      </c>
      <c r="C45" s="12" t="s">
        <v>58</v>
      </c>
      <c r="D45" s="14">
        <f>'37'!C6</f>
        <v>85000</v>
      </c>
      <c r="E45" s="14">
        <f>'37'!C7</f>
        <v>0</v>
      </c>
      <c r="F45" s="14">
        <f>'37'!C8</f>
        <v>85000</v>
      </c>
      <c r="H45" s="13"/>
      <c r="I45" s="13"/>
      <c r="J45" s="13"/>
    </row>
    <row r="46" spans="1:10" x14ac:dyDescent="0.25">
      <c r="A46" s="2">
        <f t="shared" si="0"/>
        <v>38</v>
      </c>
      <c r="B46" s="11">
        <v>241001453</v>
      </c>
      <c r="C46" s="12" t="s">
        <v>59</v>
      </c>
      <c r="D46" s="14">
        <f>'38'!C6</f>
        <v>43000</v>
      </c>
      <c r="E46" s="14">
        <f>'38'!C7</f>
        <v>0</v>
      </c>
      <c r="F46" s="14">
        <f>'38'!C8</f>
        <v>43000</v>
      </c>
      <c r="H46" s="13"/>
      <c r="I46" s="13"/>
      <c r="J46" s="13"/>
    </row>
    <row r="47" spans="1:10" x14ac:dyDescent="0.25">
      <c r="A47" s="2">
        <f t="shared" si="0"/>
        <v>39</v>
      </c>
      <c r="B47" s="11">
        <v>241001454</v>
      </c>
      <c r="C47" s="12" t="s">
        <v>60</v>
      </c>
      <c r="D47" s="14">
        <f>'39'!C6</f>
        <v>115000</v>
      </c>
      <c r="E47" s="14">
        <f>'39'!C7</f>
        <v>51000</v>
      </c>
      <c r="F47" s="14">
        <f>'39'!C8</f>
        <v>64000</v>
      </c>
      <c r="H47" s="13"/>
      <c r="I47" s="13"/>
      <c r="J47" s="13"/>
    </row>
    <row r="48" spans="1:10" x14ac:dyDescent="0.25">
      <c r="A48" s="2">
        <f t="shared" si="0"/>
        <v>40</v>
      </c>
      <c r="B48" s="11">
        <v>241001455</v>
      </c>
      <c r="C48" s="12" t="s">
        <v>61</v>
      </c>
      <c r="D48" s="14">
        <f>'40'!C6</f>
        <v>122000</v>
      </c>
      <c r="E48" s="14">
        <f>'40'!C7</f>
        <v>1000</v>
      </c>
      <c r="F48" s="14">
        <f>'40'!C8</f>
        <v>121000</v>
      </c>
      <c r="H48" s="13"/>
      <c r="I48" s="13"/>
      <c r="J48" s="13"/>
    </row>
    <row r="49" spans="1:10" x14ac:dyDescent="0.25">
      <c r="A49" s="2">
        <f t="shared" si="0"/>
        <v>41</v>
      </c>
      <c r="B49" s="11">
        <v>241001456</v>
      </c>
      <c r="C49" s="12" t="s">
        <v>62</v>
      </c>
      <c r="D49" s="14">
        <f>'41'!C6</f>
        <v>15000</v>
      </c>
      <c r="E49" s="14">
        <f>'41'!C7</f>
        <v>0</v>
      </c>
      <c r="F49" s="14">
        <f>'41'!C8</f>
        <v>15000</v>
      </c>
      <c r="H49" s="13"/>
      <c r="I49" s="13"/>
      <c r="J49" s="13"/>
    </row>
    <row r="50" spans="1:10" x14ac:dyDescent="0.25">
      <c r="A50" s="2">
        <f t="shared" si="0"/>
        <v>42</v>
      </c>
      <c r="B50" s="11">
        <v>241001457</v>
      </c>
      <c r="C50" s="12" t="s">
        <v>63</v>
      </c>
      <c r="D50" s="14">
        <f>'42'!C6</f>
        <v>230000</v>
      </c>
      <c r="E50" s="14">
        <f>'42'!C7</f>
        <v>1000</v>
      </c>
      <c r="F50" s="14">
        <f>'42'!C8</f>
        <v>229000</v>
      </c>
      <c r="H50" s="13"/>
      <c r="I50" s="13"/>
      <c r="J50" s="13"/>
    </row>
    <row r="51" spans="1:10" x14ac:dyDescent="0.25">
      <c r="A51" s="2">
        <f t="shared" si="0"/>
        <v>43</v>
      </c>
      <c r="B51" s="11">
        <v>241001458</v>
      </c>
      <c r="C51" s="12" t="s">
        <v>64</v>
      </c>
      <c r="D51" s="14">
        <f>'43'!C6</f>
        <v>315000</v>
      </c>
      <c r="E51" s="14">
        <f>'43'!C7</f>
        <v>300000</v>
      </c>
      <c r="F51" s="14">
        <f>'43'!C8</f>
        <v>15000</v>
      </c>
      <c r="H51" s="13"/>
      <c r="I51" s="13"/>
      <c r="J51" s="13"/>
    </row>
    <row r="52" spans="1:10" x14ac:dyDescent="0.25">
      <c r="A52" s="2">
        <f t="shared" si="0"/>
        <v>44</v>
      </c>
      <c r="B52" s="11">
        <v>241001460</v>
      </c>
      <c r="C52" s="12" t="s">
        <v>65</v>
      </c>
      <c r="D52" s="14">
        <f>'44'!C6</f>
        <v>37000</v>
      </c>
      <c r="E52" s="14">
        <f>'44'!C7</f>
        <v>1000</v>
      </c>
      <c r="F52" s="14">
        <f>'44'!C8</f>
        <v>36000</v>
      </c>
      <c r="H52" s="13"/>
      <c r="I52" s="13"/>
      <c r="J52" s="13"/>
    </row>
    <row r="53" spans="1:10" hidden="1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hidden="1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hidden="1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hidden="1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hidden="1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hidden="1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18" t="s">
        <v>19</v>
      </c>
      <c r="E60" s="18"/>
      <c r="F60" s="10"/>
    </row>
    <row r="61" spans="1:10" x14ac:dyDescent="0.25">
      <c r="A61" s="10"/>
      <c r="B61" s="10"/>
      <c r="C61" s="10"/>
      <c r="D61" s="18" t="s">
        <v>20</v>
      </c>
      <c r="E61" s="18"/>
      <c r="F61" s="10"/>
    </row>
    <row r="62" spans="1:10" x14ac:dyDescent="0.25">
      <c r="A62" s="10"/>
      <c r="B62" s="10"/>
      <c r="C62" s="10"/>
      <c r="D62" s="18"/>
      <c r="E62" s="18"/>
      <c r="F62" s="10"/>
    </row>
    <row r="63" spans="1:10" x14ac:dyDescent="0.25">
      <c r="A63" s="10"/>
      <c r="B63" s="10"/>
      <c r="C63" s="10"/>
      <c r="D63" s="18"/>
      <c r="E63" s="18"/>
      <c r="F63" s="10"/>
    </row>
    <row r="64" spans="1:10" x14ac:dyDescent="0.25">
      <c r="A64" s="10"/>
      <c r="B64" s="10"/>
      <c r="C64" s="10"/>
      <c r="D64" s="18"/>
      <c r="E64" s="18"/>
      <c r="F64" s="10"/>
    </row>
    <row r="65" spans="1:6" x14ac:dyDescent="0.25">
      <c r="A65" s="10"/>
      <c r="B65" s="10"/>
      <c r="C65" s="10"/>
      <c r="D65" s="17" t="s">
        <v>21</v>
      </c>
      <c r="E65" s="17"/>
      <c r="F65" s="10"/>
    </row>
  </sheetData>
  <sheetProtection algorithmName="SHA-512" hashValue="3bF+RgvOSSHzYCtTTt05BTZdN0o3uLD/a7UyYm9JlfxKn9oyfRBQQd9Xox7hla5xZj+2Zke+MGczXG1rCk8YYg==" saltValue="KcRZTYXGb01Wk/zpnzSB4A==" spinCount="100000" sheet="1" objects="1" scenarios="1"/>
  <sortState ref="B9:C45">
    <sortCondition ref="C9:C45"/>
  </sortState>
  <mergeCells count="11">
    <mergeCell ref="A1:F1"/>
    <mergeCell ref="A4:B4"/>
    <mergeCell ref="A5:B5"/>
    <mergeCell ref="A6:B6"/>
    <mergeCell ref="A2:F2"/>
    <mergeCell ref="D65:E65"/>
    <mergeCell ref="D60:E60"/>
    <mergeCell ref="D61:E61"/>
    <mergeCell ref="D62:E62"/>
    <mergeCell ref="D63:E63"/>
    <mergeCell ref="D64:E64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AHMAD SOBBIRIN</v>
      </c>
    </row>
    <row r="4" spans="1:9" x14ac:dyDescent="0.25">
      <c r="A4" s="21" t="s">
        <v>5</v>
      </c>
      <c r="B4" s="21"/>
      <c r="C4" s="4">
        <f>Sheet1!B9</f>
        <v>241001413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ARIEL FAHRIANSACH</v>
      </c>
    </row>
    <row r="4" spans="1:9" x14ac:dyDescent="0.25">
      <c r="A4" s="21" t="s">
        <v>5</v>
      </c>
      <c r="B4" s="21"/>
      <c r="C4" s="4">
        <f>Sheet1!B10</f>
        <v>241001414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198" activePane="bottomRight" state="frozen"/>
      <selection activeCell="C12" sqref="C12"/>
      <selection pane="topRight" activeCell="C12" sqref="C12"/>
      <selection pane="bottomLeft" activeCell="C12" sqref="C12"/>
      <selection pane="bottomRight" activeCell="D209" sqref="D20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AXSAL</v>
      </c>
    </row>
    <row r="4" spans="1:9" x14ac:dyDescent="0.25">
      <c r="A4" s="21" t="s">
        <v>5</v>
      </c>
      <c r="B4" s="21"/>
      <c r="C4" s="4">
        <f>Sheet1!B11</f>
        <v>241001415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285000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284000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245000</v>
      </c>
      <c r="D12" s="9"/>
      <c r="E12" s="5">
        <f>IF(B12&lt;&gt;"",C12-D12,"")</f>
        <v>245000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245000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245000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245000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245000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245000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245000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245000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245000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244000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249000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254000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254000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254000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254000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264000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264000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264000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264000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264000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264000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264000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264000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264000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264000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264000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264000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264000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264000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264000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264000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264000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264000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264000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264000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264000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264000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264000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264000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264000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264000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264000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264000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264000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264000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264000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264000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264000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264000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264000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264000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264000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264000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264000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264000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264000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264000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264000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264000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264000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264000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264000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264000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264000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264000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264000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264000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264000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264000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264000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264000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264000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264000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264000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264000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264000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264000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264000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264000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264000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264000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264000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264000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264000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264000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264000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264000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264000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264000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264000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264000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264000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264000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264000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264000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264000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264000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264000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264000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264000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264000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264000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264000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264000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264000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264000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264000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264000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264000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264000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264000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264000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264000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264000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264000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264000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264000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264000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264000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264000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264000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264000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264000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264000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264000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264000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264000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264000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264000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264000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264000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264000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264000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264000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264000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264000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264000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264000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264000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264000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264000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264000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264000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264000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264000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264000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264000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264000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264000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264000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264000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264000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264000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264000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264000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264000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264000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264000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264000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264000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264000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264000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264000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264000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264000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264000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264000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264000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264000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264000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264000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264000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264000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264000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264000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264000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264000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264000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264000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264000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264000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>
        <v>10000</v>
      </c>
      <c r="D193" s="9"/>
      <c r="E193" s="5">
        <f t="shared" si="5"/>
        <v>274000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274000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274000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274000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274000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274000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274000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274000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274000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274000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>
        <v>10000</v>
      </c>
      <c r="D203" s="9"/>
      <c r="E203" s="5">
        <f t="shared" si="5"/>
        <v>284000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284000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284000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284000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284000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284000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284000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284000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284000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284000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284000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284000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284000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284000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284000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284000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284000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284000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284000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284000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284000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284000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284000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284000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284000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284000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284000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284000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284000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284000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284000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284000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284000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284000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284000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284000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284000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284000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284000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284000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284000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284000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284000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284000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284000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284000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284000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284000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284000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284000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284000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284000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284000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284000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284000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284000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284000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284000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284000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284000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284000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284000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284000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284000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284000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284000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284000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284000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284000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284000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284000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284000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284000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284000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284000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284000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284000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284000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284000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284000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284000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284000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284000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284000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284000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284000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284000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284000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284000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284000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284000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284000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284000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284000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284000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284000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284000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284000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284000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284000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284000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284000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284000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284000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284000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284000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284000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284000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284000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284000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284000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284000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284000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284000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284000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284000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284000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284000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284000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284000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284000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284000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284000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284000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284000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284000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284000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284000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284000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284000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284000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284000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284000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284000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284000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284000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284000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284000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284000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284000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284000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284000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284000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284000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284000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284000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284000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284000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284000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284000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284000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284000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284000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284000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284000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284000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284000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284000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284000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284000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284000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284000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284000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284000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284000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284000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284000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284000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284000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284000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284000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284000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284000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284000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BUNGA SELIA PRATIWI</v>
      </c>
    </row>
    <row r="4" spans="1:9" x14ac:dyDescent="0.25">
      <c r="A4" s="21" t="s">
        <v>5</v>
      </c>
      <c r="B4" s="21"/>
      <c r="C4" s="4">
        <f>Sheet1!B12</f>
        <v>241001416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</v>
      </c>
      <c r="D12" s="9"/>
      <c r="E12" s="5">
        <f>IF(B12&lt;&gt;"",C12-D12,"")</f>
        <v>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9000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15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DEVINA APRIYANI</v>
      </c>
    </row>
    <row r="4" spans="1:9" x14ac:dyDescent="0.25">
      <c r="A4" s="21" t="s">
        <v>5</v>
      </c>
      <c r="B4" s="21"/>
      <c r="C4" s="4">
        <f>Sheet1!B13</f>
        <v>241001417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activeCell="D49" sqref="D4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FATIMAH EKA ARDIANTHY</v>
      </c>
    </row>
    <row r="4" spans="1:9" x14ac:dyDescent="0.25">
      <c r="A4" s="21" t="s">
        <v>5</v>
      </c>
      <c r="B4" s="21"/>
      <c r="C4" s="4">
        <f>Sheet1!B14</f>
        <v>241001418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265000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265000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245000</v>
      </c>
      <c r="D12" s="9"/>
      <c r="E12" s="5">
        <f>IF(B12&lt;&gt;"",C12-D12,"")</f>
        <v>245000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245000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245000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245000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245000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245000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245000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245000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245000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4000</v>
      </c>
      <c r="D21" s="9"/>
      <c r="E21" s="5">
        <f t="shared" si="1"/>
        <v>249000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254000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254000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254000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254000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254000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259000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259000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259000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259000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259000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259000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259000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259000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259000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259000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259000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259000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259000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259000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259000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259000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259000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259000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6000</v>
      </c>
      <c r="D48" s="9"/>
      <c r="E48" s="5">
        <f t="shared" si="1"/>
        <v>265000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265000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265000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265000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265000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265000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265000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265000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265000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265000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265000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265000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265000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265000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265000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265000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265000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265000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265000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265000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265000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265000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265000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265000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265000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265000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265000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265000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265000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265000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265000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265000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265000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265000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265000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265000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265000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265000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265000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265000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265000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265000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265000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265000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265000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265000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265000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265000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265000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265000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265000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265000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265000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265000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265000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265000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265000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265000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265000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265000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265000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265000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265000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265000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265000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265000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265000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265000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265000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265000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265000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265000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265000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265000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265000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265000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265000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265000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265000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265000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265000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265000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265000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265000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265000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265000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265000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265000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265000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265000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265000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265000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265000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265000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265000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265000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265000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265000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265000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265000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265000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265000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265000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265000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265000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265000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265000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265000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265000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265000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265000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265000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265000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265000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265000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265000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265000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265000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265000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265000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265000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265000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265000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265000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265000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265000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265000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265000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265000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265000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265000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265000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265000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265000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265000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265000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265000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265000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265000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265000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265000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265000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265000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265000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265000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265000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265000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265000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265000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265000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265000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265000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265000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265000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265000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265000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265000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265000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265000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265000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265000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265000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265000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265000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265000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265000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265000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265000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265000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265000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265000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265000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265000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265000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265000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265000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265000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265000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265000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265000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265000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265000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265000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265000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265000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265000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265000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265000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265000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265000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265000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265000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265000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265000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265000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265000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265000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265000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265000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265000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265000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265000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265000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265000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265000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265000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265000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265000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265000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265000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265000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265000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265000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265000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265000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265000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265000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265000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265000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265000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265000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265000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265000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265000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265000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265000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265000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265000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265000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265000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265000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265000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265000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265000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265000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265000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265000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265000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265000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265000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265000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265000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265000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265000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265000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265000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265000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265000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265000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265000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265000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265000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265000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265000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265000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265000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265000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265000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265000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265000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265000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265000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265000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265000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265000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265000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265000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265000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265000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265000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265000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265000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265000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265000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265000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265000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265000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265000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265000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265000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265000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265000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265000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265000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265000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265000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265000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265000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265000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265000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265000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265000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265000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265000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265000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265000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265000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265000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265000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265000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265000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265000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265000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265000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265000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265000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265000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265000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265000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265000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265000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265000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265000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265000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265000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265000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265000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265000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265000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265000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265000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265000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265000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265000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265000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265000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265000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265000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265000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HERI PRASETYO</v>
      </c>
    </row>
    <row r="4" spans="1:9" x14ac:dyDescent="0.25">
      <c r="A4" s="21" t="s">
        <v>5</v>
      </c>
      <c r="B4" s="21"/>
      <c r="C4" s="4">
        <f>Sheet1!B15</f>
        <v>241001419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15000</v>
      </c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25000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2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IRFA NURUL AINI</v>
      </c>
    </row>
    <row r="4" spans="1:9" x14ac:dyDescent="0.25">
      <c r="A4" s="21" t="s">
        <v>5</v>
      </c>
      <c r="B4" s="21"/>
      <c r="C4" s="4">
        <f>Sheet1!B16</f>
        <v>241001420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30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JENNY PEBRIANTI</v>
      </c>
    </row>
    <row r="4" spans="1:9" x14ac:dyDescent="0.25">
      <c r="A4" s="21" t="s">
        <v>5</v>
      </c>
      <c r="B4" s="21"/>
      <c r="C4" s="4">
        <f>Sheet1!B17</f>
        <v>241001421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125000</v>
      </c>
    </row>
    <row r="7" spans="1:9" x14ac:dyDescent="0.25">
      <c r="A7" s="21" t="s">
        <v>15</v>
      </c>
      <c r="B7" s="21"/>
      <c r="C7" s="8">
        <f>SUM(D12:D376)</f>
        <v>101000</v>
      </c>
    </row>
    <row r="8" spans="1:9" x14ac:dyDescent="0.25">
      <c r="A8" s="21" t="s">
        <v>16</v>
      </c>
      <c r="B8" s="21"/>
      <c r="C8" s="8">
        <f>SUM(C6-C7)</f>
        <v>24000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125000</v>
      </c>
      <c r="D12" s="9"/>
      <c r="E12" s="5">
        <f>IF(B12&lt;&gt;"",C12-D12,"")</f>
        <v>125000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125000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125000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125000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125000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125000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125000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125000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125000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125000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>
        <v>101000</v>
      </c>
      <c r="E22" s="5">
        <f t="shared" si="1"/>
        <v>24000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24000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66" activePane="bottomRight" state="frozen"/>
      <selection pane="topRight" activeCell="B1" sqref="B1"/>
      <selection pane="bottomLeft" activeCell="A12" sqref="A12"/>
      <selection pane="bottomRight" activeCell="C71" sqref="C7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JIHAN MUTIARA</v>
      </c>
    </row>
    <row r="4" spans="1:9" x14ac:dyDescent="0.25">
      <c r="A4" s="21" t="s">
        <v>5</v>
      </c>
      <c r="B4" s="21"/>
      <c r="C4" s="4">
        <f>Sheet1!B18</f>
        <v>241001422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10000</v>
      </c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54" activePane="bottomRight" state="frozen"/>
      <selection activeCell="C12" sqref="C12"/>
      <selection pane="topRight" activeCell="C12" sqref="C12"/>
      <selection pane="bottomLeft" activeCell="C12" sqref="C12"/>
      <selection pane="bottomRight" activeCell="D66" sqref="D6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KEYSYA ANAYA ALFARIJAL</v>
      </c>
    </row>
    <row r="4" spans="1:9" x14ac:dyDescent="0.25">
      <c r="A4" s="21" t="s">
        <v>5</v>
      </c>
      <c r="B4" s="21"/>
      <c r="C4" s="4">
        <f>Sheet1!B19</f>
        <v>241001423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116000</v>
      </c>
    </row>
    <row r="7" spans="1:9" x14ac:dyDescent="0.25">
      <c r="A7" s="21" t="s">
        <v>15</v>
      </c>
      <c r="B7" s="21"/>
      <c r="C7" s="8">
        <f>SUM(D12:D376)</f>
        <v>101000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100000</v>
      </c>
      <c r="D12" s="9"/>
      <c r="E12" s="5">
        <f>IF(B12&lt;&gt;"",C12-D12,"")</f>
        <v>100000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99000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109000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111000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111000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113000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113000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113000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113000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113000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113000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113000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113000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113000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>
        <v>100000</v>
      </c>
      <c r="E58" s="5">
        <f t="shared" si="1"/>
        <v>13000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>
        <v>2000</v>
      </c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activeCell="D74" sqref="D7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MESHA JULIA PUTRI</v>
      </c>
    </row>
    <row r="4" spans="1:9" x14ac:dyDescent="0.25">
      <c r="A4" s="21" t="s">
        <v>5</v>
      </c>
      <c r="B4" s="21"/>
      <c r="C4" s="4">
        <f>Sheet1!B20</f>
        <v>241001424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137000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136000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110000</v>
      </c>
      <c r="D12" s="9"/>
      <c r="E12" s="5">
        <f>IF(B12&lt;&gt;"",C12-D12,"")</f>
        <v>110000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109000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114000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114000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114000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114000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114000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119000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119000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119000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119000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119000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119000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119000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119000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119000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124000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129000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129000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131000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131000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131000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131000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131000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131000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131000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131000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131000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131000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136000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136000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136000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136000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136000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136000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136000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136000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136000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136000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136000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136000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136000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136000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136000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136000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136000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136000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MINI</v>
      </c>
    </row>
    <row r="4" spans="1:9" x14ac:dyDescent="0.25">
      <c r="A4" s="21" t="s">
        <v>5</v>
      </c>
      <c r="B4" s="21"/>
      <c r="C4" s="4">
        <f>Sheet1!B21</f>
        <v>241001425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40000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39000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40000</v>
      </c>
      <c r="D12" s="9"/>
      <c r="E12" s="5">
        <f>IF(B12&lt;&gt;"",C12-D12,"")</f>
        <v>40000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>
        <v>1000</v>
      </c>
      <c r="E22" s="5">
        <f t="shared" si="1"/>
        <v>39000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39000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MUHAMAD AIDIN SYAHPUTRA</v>
      </c>
    </row>
    <row r="4" spans="1:9" x14ac:dyDescent="0.25">
      <c r="A4" s="21" t="s">
        <v>5</v>
      </c>
      <c r="B4" s="21"/>
      <c r="C4" s="4">
        <f>Sheet1!B22</f>
        <v>241001426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105000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105000</v>
      </c>
      <c r="D12" s="9"/>
      <c r="E12" s="5">
        <f>IF(B12&lt;&gt;"",C12-D12,"")</f>
        <v>105000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105000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105000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105000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105000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MUHAMAD AKBAR MAULANA</v>
      </c>
    </row>
    <row r="4" spans="1:9" x14ac:dyDescent="0.25">
      <c r="A4" s="21" t="s">
        <v>5</v>
      </c>
      <c r="B4" s="21"/>
      <c r="C4" s="4">
        <f>Sheet1!B23</f>
        <v>241001427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MUHAMAD AL ANDRI</v>
      </c>
    </row>
    <row r="4" spans="1:9" x14ac:dyDescent="0.25">
      <c r="A4" s="21" t="s">
        <v>5</v>
      </c>
      <c r="B4" s="21"/>
      <c r="C4" s="4">
        <f>Sheet1!B24</f>
        <v>241001428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55000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55000</v>
      </c>
      <c r="D12" s="9"/>
      <c r="E12" s="5">
        <f>IF(B12&lt;&gt;"",C12-D12,"")</f>
        <v>55000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55000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MUHAMAD DANU PIRANSYAH</v>
      </c>
    </row>
    <row r="4" spans="1:9" x14ac:dyDescent="0.25">
      <c r="A4" s="21" t="s">
        <v>5</v>
      </c>
      <c r="B4" s="21"/>
      <c r="C4" s="4">
        <f>Sheet1!B25</f>
        <v>241001429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40000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40000</v>
      </c>
      <c r="D12" s="9"/>
      <c r="E12" s="5">
        <f>IF(B12&lt;&gt;"",C12-D12,"")</f>
        <v>40000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40000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48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MUHAMAD FADLI AL HARIS</v>
      </c>
    </row>
    <row r="4" spans="1:9" x14ac:dyDescent="0.25">
      <c r="A4" s="21" t="s">
        <v>5</v>
      </c>
      <c r="B4" s="21"/>
      <c r="C4" s="4">
        <f>Sheet1!B26</f>
        <v>241001430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MUHAMAD FAQIIH AMAANULLAH</v>
      </c>
    </row>
    <row r="4" spans="1:9" x14ac:dyDescent="0.25">
      <c r="A4" s="21" t="s">
        <v>5</v>
      </c>
      <c r="B4" s="21"/>
      <c r="C4" s="4">
        <f>Sheet1!B27</f>
        <v>241001431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MUHAMAD FINO SYAHRAM</v>
      </c>
    </row>
    <row r="4" spans="1:9" x14ac:dyDescent="0.25">
      <c r="A4" s="21" t="s">
        <v>5</v>
      </c>
      <c r="B4" s="21"/>
      <c r="C4" s="4">
        <f>Sheet1!B28</f>
        <v>241001432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MUHAMAD PERDI</v>
      </c>
    </row>
    <row r="4" spans="1:9" x14ac:dyDescent="0.25">
      <c r="A4" s="21" t="s">
        <v>5</v>
      </c>
      <c r="B4" s="21"/>
      <c r="C4" s="4">
        <f>Sheet1!B29</f>
        <v>241001433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22000</v>
      </c>
      <c r="D12" s="9"/>
      <c r="E12" s="5">
        <f>IF(B12&lt;&gt;"",C12-D12,"")</f>
        <v>22000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22000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MUHAMAD SIGIT SAPUTRA</v>
      </c>
    </row>
    <row r="4" spans="1:9" x14ac:dyDescent="0.25">
      <c r="A4" s="21" t="s">
        <v>5</v>
      </c>
      <c r="B4" s="21"/>
      <c r="C4" s="4">
        <f>Sheet1!B30</f>
        <v>241001436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MUHAMAD SUHEBI</v>
      </c>
    </row>
    <row r="4" spans="1:9" x14ac:dyDescent="0.25">
      <c r="A4" s="21" t="s">
        <v>5</v>
      </c>
      <c r="B4" s="21"/>
      <c r="C4" s="4">
        <f>Sheet1!B31</f>
        <v>241001437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MUHAMMAD ILHAM PRATAMA</v>
      </c>
    </row>
    <row r="4" spans="1:9" x14ac:dyDescent="0.25">
      <c r="A4" s="21" t="s">
        <v>5</v>
      </c>
      <c r="B4" s="21"/>
      <c r="C4" s="4">
        <f>Sheet1!B32</f>
        <v>241001438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MUL ILHAM</v>
      </c>
    </row>
    <row r="4" spans="1:9" x14ac:dyDescent="0.25">
      <c r="A4" s="21" t="s">
        <v>5</v>
      </c>
      <c r="B4" s="21"/>
      <c r="C4" s="4">
        <f>Sheet1!B33</f>
        <v>241001439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120000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119000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120000</v>
      </c>
      <c r="D12" s="9"/>
      <c r="E12" s="5">
        <f>IF(B12&lt;&gt;"",C12-D12,"")</f>
        <v>120000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>
        <v>1000</v>
      </c>
      <c r="E22" s="5">
        <f t="shared" si="1"/>
        <v>119000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119000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119000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119000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119000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119000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119000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119000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119000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119000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119000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119000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119000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119000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119000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119000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119000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119000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119000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119000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119000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119000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119000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119000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119000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119000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119000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119000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119000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119000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119000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119000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119000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119000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119000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119000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119000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119000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119000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119000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119000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119000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119000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119000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119000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119000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119000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119000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119000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119000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119000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119000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119000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119000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119000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119000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119000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119000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119000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119000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119000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119000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119000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119000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119000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119000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119000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119000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119000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119000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119000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119000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119000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119000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119000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119000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119000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119000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119000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119000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119000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119000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119000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119000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119000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119000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119000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119000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119000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119000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119000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119000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119000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119000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119000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119000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119000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119000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119000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119000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119000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119000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119000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119000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119000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119000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119000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119000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119000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119000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119000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119000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119000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119000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119000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119000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119000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119000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119000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119000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119000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119000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119000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119000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119000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119000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119000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119000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119000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119000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119000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119000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119000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119000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119000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119000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119000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119000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119000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119000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119000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119000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119000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119000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119000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119000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119000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119000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119000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119000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119000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119000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119000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119000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119000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119000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119000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119000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119000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119000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119000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119000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119000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119000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119000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119000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119000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119000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119000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119000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119000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119000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119000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119000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119000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119000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119000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119000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119000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119000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119000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119000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119000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119000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119000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119000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119000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119000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119000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119000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119000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119000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119000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119000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119000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119000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119000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119000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119000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119000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119000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119000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119000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119000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119000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119000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119000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119000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119000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119000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119000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119000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119000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119000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119000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119000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119000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119000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119000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119000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119000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119000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119000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119000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119000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119000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119000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119000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119000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119000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119000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119000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119000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119000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119000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119000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119000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119000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119000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119000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119000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119000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119000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119000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119000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119000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119000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119000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119000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119000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119000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119000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119000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119000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119000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119000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119000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119000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119000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119000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119000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119000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119000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119000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119000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119000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119000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119000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119000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119000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119000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119000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119000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119000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119000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119000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119000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119000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119000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119000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119000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119000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119000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119000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119000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119000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119000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119000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119000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119000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119000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119000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119000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119000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119000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119000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119000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119000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119000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119000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119000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119000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119000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119000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119000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119000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119000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119000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119000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119000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119000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119000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119000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119000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119000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119000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119000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119000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119000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66" activePane="bottomRight" state="frozen"/>
      <selection pane="topRight" activeCell="B1" sqref="B1"/>
      <selection pane="bottomLeft" activeCell="A12" sqref="A12"/>
      <selection pane="bottomRight" activeCell="D78" sqref="D7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NATASYA AULIA PUTRI</v>
      </c>
    </row>
    <row r="4" spans="1:9" x14ac:dyDescent="0.25">
      <c r="A4" s="21" t="s">
        <v>5</v>
      </c>
      <c r="B4" s="21"/>
      <c r="C4" s="4">
        <f>Sheet1!B34</f>
        <v>241001440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65000</v>
      </c>
    </row>
    <row r="7" spans="1:9" x14ac:dyDescent="0.25">
      <c r="A7" s="21" t="s">
        <v>15</v>
      </c>
      <c r="B7" s="21"/>
      <c r="C7" s="8">
        <f>SUM(D12:D376)</f>
        <v>21000</v>
      </c>
    </row>
    <row r="8" spans="1:9" x14ac:dyDescent="0.25">
      <c r="A8" s="21" t="s">
        <v>16</v>
      </c>
      <c r="B8" s="21"/>
      <c r="C8" s="8">
        <f>SUM(C6-C7)</f>
        <v>44000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45000</v>
      </c>
      <c r="D12" s="9"/>
      <c r="E12" s="5">
        <f>IF(B12&lt;&gt;"",C12-D12,"")</f>
        <v>45000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44000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6000</v>
      </c>
      <c r="D22" s="9"/>
      <c r="E22" s="5">
        <f t="shared" si="1"/>
        <v>50000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2000</v>
      </c>
      <c r="D23" s="9"/>
      <c r="E23" s="5">
        <f t="shared" si="1"/>
        <v>52000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54000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59000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>
        <v>20000</v>
      </c>
      <c r="E54" s="5">
        <f t="shared" si="1"/>
        <v>39000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44000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44000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57" activePane="bottomRight" state="frozen"/>
      <selection pane="topRight" activeCell="B1" sqref="B1"/>
      <selection pane="bottomLeft" activeCell="A12" sqref="A12"/>
      <selection pane="bottomRight" activeCell="C68" sqref="C6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NINGRUM ASSYIFAH</v>
      </c>
    </row>
    <row r="4" spans="1:9" x14ac:dyDescent="0.25">
      <c r="A4" s="21" t="s">
        <v>5</v>
      </c>
      <c r="B4" s="21"/>
      <c r="C4" s="4">
        <f>Sheet1!B35</f>
        <v>241001441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138000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138000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130000</v>
      </c>
      <c r="D12" s="9"/>
      <c r="E12" s="5">
        <f>IF(B12&lt;&gt;"",C12-D12,"")</f>
        <v>130000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130000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130000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130000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130000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130000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130000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130000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130000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130000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130000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130000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130000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130000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130000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130000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130000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130000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130000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130000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130000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130000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130000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130000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130000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130000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130000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130000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130000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1000</v>
      </c>
      <c r="D41" s="9"/>
      <c r="E41" s="5">
        <f t="shared" si="1"/>
        <v>131000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131000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131000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131000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131000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131000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131000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131000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131000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131000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131000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131000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7000</v>
      </c>
      <c r="D61" s="9"/>
      <c r="E61" s="5">
        <f t="shared" si="1"/>
        <v>138000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138000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138000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138000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138000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138000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138000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138000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138000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138000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138000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138000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138000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138000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138000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138000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138000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138000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138000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138000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138000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138000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138000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138000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138000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NJAY</v>
      </c>
    </row>
    <row r="4" spans="1:9" x14ac:dyDescent="0.25">
      <c r="A4" s="21" t="s">
        <v>5</v>
      </c>
      <c r="B4" s="21"/>
      <c r="C4" s="4">
        <f>Sheet1!B36</f>
        <v>241001442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90000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90000</v>
      </c>
      <c r="D12" s="9"/>
      <c r="E12" s="5">
        <f>IF(B12&lt;&gt;"",C12-D12,"")</f>
        <v>90000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90000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90000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90000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90000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90000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90000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90000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90000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90000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90000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90000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90000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90000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90000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90000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90000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90000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90000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90000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90000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90000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90000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90000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90000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90000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90000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90000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90000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90000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90000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90000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90000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90000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90000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90000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NUR SARI</v>
      </c>
    </row>
    <row r="4" spans="1:9" x14ac:dyDescent="0.25">
      <c r="A4" s="21" t="s">
        <v>5</v>
      </c>
      <c r="B4" s="21"/>
      <c r="C4" s="4">
        <f>Sheet1!B37</f>
        <v>241001443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Sheet1!C38</f>
        <v>PUTRI AMANDA JULIANTI</v>
      </c>
    </row>
    <row r="4" spans="1:9" x14ac:dyDescent="0.25">
      <c r="A4" s="21" t="s">
        <v>5</v>
      </c>
      <c r="B4" s="21"/>
      <c r="C4" s="4">
        <f>Sheet1!B38</f>
        <v>241001444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66" activePane="bottomRight" state="frozen"/>
      <selection pane="topRight" activeCell="B1" sqref="B1"/>
      <selection pane="bottomLeft" activeCell="A12" sqref="A12"/>
      <selection pane="bottomRight" activeCell="E4" sqref="E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Sheet1!C39</f>
        <v>RADINKA NAZWA MAULIDA</v>
      </c>
    </row>
    <row r="4" spans="1:9" x14ac:dyDescent="0.25">
      <c r="A4" s="21" t="s">
        <v>5</v>
      </c>
      <c r="B4" s="21"/>
      <c r="C4" s="4">
        <f>Sheet1!B39</f>
        <v>241001445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160000</v>
      </c>
    </row>
    <row r="7" spans="1:9" x14ac:dyDescent="0.25">
      <c r="A7" s="21" t="s">
        <v>15</v>
      </c>
      <c r="B7" s="21"/>
      <c r="C7" s="8">
        <f>SUM(D12:D376)</f>
        <v>125000</v>
      </c>
    </row>
    <row r="8" spans="1:9" x14ac:dyDescent="0.25">
      <c r="A8" s="21" t="s">
        <v>16</v>
      </c>
      <c r="B8" s="21"/>
      <c r="C8" s="8">
        <f>SUM(C6-C7)</f>
        <v>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70000</v>
      </c>
      <c r="D12" s="9"/>
      <c r="E12" s="5">
        <f>IF(B12&lt;&gt;"",C12-D12,"")</f>
        <v>70000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70000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70000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75000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45000</v>
      </c>
      <c r="D36" s="9"/>
      <c r="E36" s="5">
        <f t="shared" si="1"/>
        <v>120000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30000</v>
      </c>
      <c r="D40" s="9"/>
      <c r="E40" s="5">
        <f t="shared" si="1"/>
        <v>150000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10000</v>
      </c>
      <c r="D48" s="9"/>
      <c r="E48" s="5">
        <f t="shared" si="1"/>
        <v>160000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160000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160000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160000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160000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160000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160000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160000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160000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160000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160000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160000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160000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160000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160000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160000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160000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160000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160000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160000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160000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160000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160000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160000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160000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160000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160000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>
        <v>125000</v>
      </c>
      <c r="E76" s="5">
        <f t="shared" si="1"/>
        <v>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35000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75" activePane="bottomRight" state="frozen"/>
      <selection pane="topRight" activeCell="B1" sqref="B1"/>
      <selection pane="bottomLeft" activeCell="A12" sqref="A12"/>
      <selection pane="bottomRight" activeCell="D80" sqref="D8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Sheet1!C40</f>
        <v>RAHMAYANI INTANIA</v>
      </c>
    </row>
    <row r="4" spans="1:9" x14ac:dyDescent="0.25">
      <c r="A4" s="21" t="s">
        <v>5</v>
      </c>
      <c r="B4" s="21"/>
      <c r="C4" s="4">
        <f>Sheet1!B40</f>
        <v>241001446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70000</v>
      </c>
    </row>
    <row r="7" spans="1:9" x14ac:dyDescent="0.25">
      <c r="A7" s="21" t="s">
        <v>15</v>
      </c>
      <c r="B7" s="21"/>
      <c r="C7" s="8">
        <f>SUM(D12:D376)</f>
        <v>50000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70000</v>
      </c>
      <c r="D12" s="9"/>
      <c r="E12" s="5">
        <f>IF(B12&lt;&gt;"",C12-D12,"")</f>
        <v>70000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70000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70000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70000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70000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70000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70000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70000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>
        <v>50000</v>
      </c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Sheet1!C41</f>
        <v>REVAN RIDO SAPUTRA</v>
      </c>
    </row>
    <row r="4" spans="1:9" x14ac:dyDescent="0.25">
      <c r="A4" s="21" t="s">
        <v>5</v>
      </c>
      <c r="B4" s="21"/>
      <c r="C4" s="4">
        <f>Sheet1!B41</f>
        <v>241001447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18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Sheet1!C42</f>
        <v>RICO SETIAWAN</v>
      </c>
    </row>
    <row r="4" spans="1:9" x14ac:dyDescent="0.25">
      <c r="A4" s="21" t="s">
        <v>5</v>
      </c>
      <c r="B4" s="21"/>
      <c r="C4" s="4">
        <f>Sheet1!B42</f>
        <v>241001448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55000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54000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45000</v>
      </c>
      <c r="D12" s="9"/>
      <c r="E12" s="5">
        <f>IF(B12&lt;&gt;"",C12-D12,"")</f>
        <v>45000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44000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54000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54000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Sheet1!C43</f>
        <v>RIPKI ANGGARA</v>
      </c>
    </row>
    <row r="4" spans="1:9" x14ac:dyDescent="0.25">
      <c r="A4" s="21" t="s">
        <v>5</v>
      </c>
      <c r="B4" s="21"/>
      <c r="C4" s="4">
        <f>Sheet1!B43</f>
        <v>241001450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280000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280000</v>
      </c>
      <c r="D12" s="9"/>
      <c r="E12" s="5">
        <f>IF(B12&lt;&gt;"",C12-D12,"")</f>
        <v>280000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280000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280000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280000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280000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280000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280000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280000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280000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280000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280000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280000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280000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280000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280000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280000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280000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280000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280000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280000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280000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280000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280000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280000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280000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280000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280000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280000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280000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280000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280000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280000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280000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280000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280000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280000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280000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280000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280000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280000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280000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280000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280000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280000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280000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280000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280000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280000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280000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280000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280000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280000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280000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280000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280000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280000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280000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280000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280000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280000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280000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280000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280000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280000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280000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280000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280000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280000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280000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280000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280000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280000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280000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280000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280000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280000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280000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280000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280000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280000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280000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280000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280000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280000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280000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280000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280000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280000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280000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280000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280000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280000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280000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280000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280000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Sheet1!C44</f>
        <v>RIVA KURNIANTO</v>
      </c>
    </row>
    <row r="4" spans="1:9" x14ac:dyDescent="0.25">
      <c r="A4" s="21" t="s">
        <v>5</v>
      </c>
      <c r="B4" s="21"/>
      <c r="C4" s="4">
        <f>Sheet1!B44</f>
        <v>241001451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41000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41000</v>
      </c>
      <c r="D12" s="9"/>
      <c r="E12" s="5">
        <f>IF(B12&lt;&gt;"",C12-D12,"")</f>
        <v>41000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41000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Sheet1!C45</f>
        <v>RIZKY FADHILLAH</v>
      </c>
    </row>
    <row r="4" spans="1:9" x14ac:dyDescent="0.25">
      <c r="A4" s="21" t="s">
        <v>5</v>
      </c>
      <c r="B4" s="21"/>
      <c r="C4" s="4">
        <f>Sheet1!B45</f>
        <v>241001452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85000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85000</v>
      </c>
      <c r="D12" s="9"/>
      <c r="E12" s="5">
        <f>IF(B12&lt;&gt;"",C12-D12,"")</f>
        <v>85000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85000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85000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85000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85000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85000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85000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85000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85000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85000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85000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85000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85000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85000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85000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85000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85000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85000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85000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85000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85000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85000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85000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85000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85000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85000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57" activePane="bottomRight" state="frozen"/>
      <selection pane="topRight" activeCell="B1" sqref="B1"/>
      <selection pane="bottomLeft" activeCell="A12" sqref="A12"/>
      <selection pane="bottomRight" activeCell="C68" sqref="C6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Sheet1!C46</f>
        <v>SAVRILIA AULINA</v>
      </c>
    </row>
    <row r="4" spans="1:9" x14ac:dyDescent="0.25">
      <c r="A4" s="21" t="s">
        <v>5</v>
      </c>
      <c r="B4" s="21"/>
      <c r="C4" s="4">
        <f>Sheet1!B46</f>
        <v>241001453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43000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38000</v>
      </c>
      <c r="D12" s="9"/>
      <c r="E12" s="5">
        <f>IF(B12&lt;&gt;"",C12-D12,"")</f>
        <v>38000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38000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38000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38000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38000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38000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38000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38000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38000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38000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38000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38000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43000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43000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90" activePane="bottomRight" state="frozen"/>
      <selection pane="topRight" activeCell="B1" sqref="B1"/>
      <selection pane="bottomLeft" activeCell="A12" sqref="A12"/>
      <selection pane="bottomRight" activeCell="D102" sqref="D10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Sheet1!C47</f>
        <v>SENA MARSELINA</v>
      </c>
    </row>
    <row r="4" spans="1:9" x14ac:dyDescent="0.25">
      <c r="A4" s="21" t="s">
        <v>5</v>
      </c>
      <c r="B4" s="21"/>
      <c r="C4" s="4">
        <f>Sheet1!B47</f>
        <v>241001454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115000</v>
      </c>
    </row>
    <row r="7" spans="1:9" x14ac:dyDescent="0.25">
      <c r="A7" s="21" t="s">
        <v>15</v>
      </c>
      <c r="B7" s="21"/>
      <c r="C7" s="8">
        <f>SUM(D12:D376)</f>
        <v>51000</v>
      </c>
    </row>
    <row r="8" spans="1:9" x14ac:dyDescent="0.25">
      <c r="A8" s="21" t="s">
        <v>16</v>
      </c>
      <c r="B8" s="21"/>
      <c r="C8" s="8">
        <f>SUM(C6-C7)</f>
        <v>64000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115000</v>
      </c>
      <c r="D12" s="9"/>
      <c r="E12" s="5">
        <f>IF(B12&lt;&gt;"",C12-D12,"")</f>
        <v>115000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>
        <v>1000</v>
      </c>
      <c r="E22" s="5">
        <f t="shared" si="1"/>
        <v>114000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114000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114000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114000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114000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114000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114000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114000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114000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114000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114000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114000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114000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114000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114000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114000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114000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114000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114000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114000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114000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114000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114000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114000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114000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114000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114000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114000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114000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114000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114000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114000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114000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114000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114000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114000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114000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114000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114000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114000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114000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>
        <v>50000</v>
      </c>
      <c r="E99" s="5">
        <f t="shared" si="3"/>
        <v>64000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64000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6" width="9.140625" style="1"/>
    <col min="7" max="7" width="20" style="1" customWidth="1"/>
    <col min="8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Sheet1!C48</f>
        <v>SINTIA AGUSTINA</v>
      </c>
    </row>
    <row r="4" spans="1:9" x14ac:dyDescent="0.25">
      <c r="A4" s="21" t="s">
        <v>5</v>
      </c>
      <c r="B4" s="21"/>
      <c r="C4" s="4">
        <f>Sheet1!B48</f>
        <v>241001455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122000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121000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122000</v>
      </c>
      <c r="D12" s="9"/>
      <c r="E12" s="5">
        <f>IF(B12&lt;&gt;"",C12-D12,"")</f>
        <v>122000</v>
      </c>
      <c r="G12" s="1" t="s">
        <v>67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>
        <v>1000</v>
      </c>
      <c r="E13" s="5">
        <f>IF(B13&lt;&gt;"",E12+C13-D13,"")</f>
        <v>121000</v>
      </c>
      <c r="G13" s="1" t="s">
        <v>68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121000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121000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121000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121000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121000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121000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121000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121000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121000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121000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121000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121000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121000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121000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121000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121000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121000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121000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121000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121000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121000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121000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121000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121000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121000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121000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121000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121000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121000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121000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121000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121000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121000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121000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121000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121000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121000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121000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121000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121000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121000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121000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121000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121000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121000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121000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121000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121000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121000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121000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121000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121000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121000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121000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121000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121000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121000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121000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121000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121000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121000</v>
      </c>
      <c r="I376" s="1">
        <v>365</v>
      </c>
    </row>
  </sheetData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Sheet1!C49</f>
        <v>SITI NAZWA AULIA</v>
      </c>
    </row>
    <row r="4" spans="1:9" x14ac:dyDescent="0.25">
      <c r="A4" s="21" t="s">
        <v>5</v>
      </c>
      <c r="B4" s="21"/>
      <c r="C4" s="4">
        <f>Sheet1!B49</f>
        <v>241001456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15000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Sheet1!C50</f>
        <v>SITI SERUNI</v>
      </c>
    </row>
    <row r="4" spans="1:9" x14ac:dyDescent="0.25">
      <c r="A4" s="21" t="s">
        <v>5</v>
      </c>
      <c r="B4" s="21"/>
      <c r="C4" s="4">
        <f>Sheet1!B50</f>
        <v>241001457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230000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229000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230000</v>
      </c>
      <c r="D12" s="9"/>
      <c r="E12" s="5">
        <f>IF(B12&lt;&gt;"",C12-D12,"")</f>
        <v>230000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230000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230000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230000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230000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230000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230000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230000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230000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229000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229000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229000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229000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229000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229000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229000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229000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229000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229000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229000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229000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229000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229000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229000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229000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229000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229000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229000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229000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229000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229000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229000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229000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229000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229000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229000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229000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229000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229000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229000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229000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229000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229000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229000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229000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229000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229000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229000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229000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229000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229000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229000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229000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229000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229000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229000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229000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229000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229000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229000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229000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229000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229000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229000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229000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229000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229000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229000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229000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229000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229000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229000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229000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229000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229000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229000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229000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229000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229000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229000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229000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229000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229000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229000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229000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229000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229000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229000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229000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229000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229000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229000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229000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229000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229000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229000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229000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229000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229000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229000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229000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229000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229000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229000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229000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229000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229000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229000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229000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229000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229000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229000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229000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229000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229000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229000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229000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229000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229000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229000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229000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229000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229000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229000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229000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229000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229000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229000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229000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229000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229000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229000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229000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229000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229000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229000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229000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229000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229000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229000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229000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229000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229000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229000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229000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229000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229000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229000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229000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229000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229000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229000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229000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229000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229000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229000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229000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229000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229000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229000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229000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229000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229000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229000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229000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229000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229000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229000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229000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229000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229000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229000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229000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229000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229000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229000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229000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229000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229000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229000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229000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229000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229000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229000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229000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229000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229000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229000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229000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229000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229000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229000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229000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229000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229000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229000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229000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229000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229000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229000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229000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229000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229000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229000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229000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229000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229000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229000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229000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229000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229000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229000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229000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229000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229000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229000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229000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229000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229000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229000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229000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229000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229000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229000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229000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229000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229000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229000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229000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229000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229000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229000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229000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229000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229000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229000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229000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229000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229000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229000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229000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229000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229000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229000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229000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229000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229000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229000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229000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229000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229000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229000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229000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229000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229000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229000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229000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229000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229000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229000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229000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229000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229000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229000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229000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229000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229000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229000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229000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229000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229000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229000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229000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229000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229000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229000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229000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229000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229000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229000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229000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229000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229000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229000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229000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229000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229000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229000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229000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229000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229000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229000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229000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229000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229000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229000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229000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229000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229000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229000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229000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229000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229000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229000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229000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229000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229000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229000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229000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229000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229000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229000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229000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229000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229000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229000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229000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229000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229000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229000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229000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229000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229000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229000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229000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229000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229000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229000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229000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229000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229000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229000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229000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229000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229000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229000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229000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229000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229000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229000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229000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229000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229000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229000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229000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229000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229000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229000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229000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229000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229000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229000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229000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229000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229000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229000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229000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229000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229000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229000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229000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229000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229000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229000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229000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69" activePane="bottomRight" state="frozen"/>
      <selection pane="topRight" activeCell="B1" sqref="B1"/>
      <selection pane="bottomLeft" activeCell="A12" sqref="A12"/>
      <selection pane="bottomRight" activeCell="D79" sqref="D7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Sheet1!C51</f>
        <v>SITI ZAHRA AULIA</v>
      </c>
    </row>
    <row r="4" spans="1:9" x14ac:dyDescent="0.25">
      <c r="A4" s="21" t="s">
        <v>5</v>
      </c>
      <c r="B4" s="21"/>
      <c r="C4" s="4">
        <f>Sheet1!B51</f>
        <v>241001458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315000</v>
      </c>
    </row>
    <row r="7" spans="1:9" x14ac:dyDescent="0.25">
      <c r="A7" s="21" t="s">
        <v>15</v>
      </c>
      <c r="B7" s="21"/>
      <c r="C7" s="8">
        <f>SUM(D12:D376)</f>
        <v>300000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315000</v>
      </c>
      <c r="D12" s="9"/>
      <c r="E12" s="5">
        <f>IF(B12&lt;&gt;"",C12-D12,"")</f>
        <v>315000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315000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315000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315000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315000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>
        <v>300000</v>
      </c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57" activePane="bottomRight" state="frozen"/>
      <selection pane="topRight" activeCell="B1" sqref="B1"/>
      <selection pane="bottomLeft" activeCell="A12" sqref="A12"/>
      <selection pane="bottomRight" activeCell="C66" sqref="C6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Sheet1!C52</f>
        <v>UNASIH TASYA</v>
      </c>
    </row>
    <row r="4" spans="1:9" x14ac:dyDescent="0.25">
      <c r="A4" s="21" t="s">
        <v>5</v>
      </c>
      <c r="B4" s="21"/>
      <c r="C4" s="4">
        <f>Sheet1!B52</f>
        <v>241001460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37000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36000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30000</v>
      </c>
      <c r="D12" s="9"/>
      <c r="E12" s="5">
        <f>IF(B12&lt;&gt;"",C12-D12,"")</f>
        <v>30000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>
        <v>1000</v>
      </c>
      <c r="E30" s="5">
        <f t="shared" si="1"/>
        <v>29000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7000</v>
      </c>
      <c r="D62" s="9"/>
      <c r="E62" s="5">
        <f t="shared" si="1"/>
        <v>36000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36000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XI - MPLB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2025-05-30T06:14:14Z</cp:lastPrinted>
  <dcterms:created xsi:type="dcterms:W3CDTF">2025-05-29T06:07:24Z</dcterms:created>
  <dcterms:modified xsi:type="dcterms:W3CDTF">2025-10-09T07:11:55Z</dcterms:modified>
</cp:coreProperties>
</file>