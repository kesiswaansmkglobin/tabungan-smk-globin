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-105" yWindow="-105" windowWidth="19425" windowHeight="1030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F56" i="1"/>
  <c r="F57" i="1"/>
  <c r="F55" i="1"/>
  <c r="F54" i="1"/>
  <c r="F53" i="1"/>
  <c r="F52" i="1"/>
  <c r="F51" i="1"/>
  <c r="F50" i="1"/>
  <c r="F49" i="1"/>
  <c r="F48" i="1"/>
  <c r="F47" i="1"/>
  <c r="F46" i="1"/>
  <c r="F41" i="1"/>
  <c r="F37" i="1"/>
  <c r="F33" i="1"/>
  <c r="F32" i="1"/>
  <c r="F30" i="1"/>
  <c r="F29" i="1"/>
  <c r="F27" i="1"/>
  <c r="F24" i="1"/>
  <c r="F22" i="1"/>
  <c r="F21" i="1"/>
  <c r="F20" i="1"/>
  <c r="F13" i="1"/>
  <c r="F11" i="1"/>
  <c r="F10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D57" i="1"/>
  <c r="D56" i="1"/>
  <c r="D55" i="1"/>
  <c r="D54" i="1"/>
  <c r="D53" i="1"/>
  <c r="D52" i="1"/>
  <c r="D51" i="1"/>
  <c r="D50" i="1"/>
  <c r="D49" i="1"/>
  <c r="D48" i="1"/>
  <c r="D47" i="1"/>
  <c r="D46" i="1"/>
  <c r="D43" i="1"/>
  <c r="D41" i="1"/>
  <c r="D37" i="1"/>
  <c r="D33" i="1"/>
  <c r="D32" i="1"/>
  <c r="D30" i="1"/>
  <c r="D29" i="1"/>
  <c r="D27" i="1"/>
  <c r="D24" i="1"/>
  <c r="D22" i="1"/>
  <c r="D21" i="1"/>
  <c r="D20" i="1"/>
  <c r="D13" i="1"/>
  <c r="D11" i="1"/>
  <c r="D10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E59" i="57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E17" i="57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A17" i="57"/>
  <c r="A16" i="57"/>
  <c r="E15" i="57"/>
  <c r="E16" i="57" s="1"/>
  <c r="A15" i="57"/>
  <c r="A14" i="57"/>
  <c r="E13" i="57"/>
  <c r="E14" i="57" s="1"/>
  <c r="A13" i="57"/>
  <c r="E12" i="57"/>
  <c r="A12" i="57"/>
  <c r="C8" i="57"/>
  <c r="C7" i="57"/>
  <c r="C6" i="57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E32" i="56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32" i="56"/>
  <c r="A31" i="56"/>
  <c r="E30" i="56"/>
  <c r="E31" i="56" s="1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E16" i="56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A16" i="56"/>
  <c r="A15" i="56"/>
  <c r="E14" i="56"/>
  <c r="E15" i="56" s="1"/>
  <c r="A14" i="56"/>
  <c r="A13" i="56"/>
  <c r="E12" i="56"/>
  <c r="E13" i="56" s="1"/>
  <c r="A12" i="56"/>
  <c r="C7" i="56"/>
  <c r="C6" i="56"/>
  <c r="C8" i="56" s="1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E48" i="55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E16" i="55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A16" i="55"/>
  <c r="A15" i="55"/>
  <c r="A14" i="55"/>
  <c r="A13" i="55"/>
  <c r="E12" i="55"/>
  <c r="E13" i="55" s="1"/>
  <c r="E14" i="55" s="1"/>
  <c r="E15" i="55" s="1"/>
  <c r="A12" i="55"/>
  <c r="C7" i="55"/>
  <c r="C6" i="55"/>
  <c r="C8" i="55" s="1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E17" i="54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7" i="54"/>
  <c r="A16" i="54"/>
  <c r="A15" i="54"/>
  <c r="A14" i="54"/>
  <c r="E13" i="54"/>
  <c r="E14" i="54" s="1"/>
  <c r="E15" i="54" s="1"/>
  <c r="E16" i="54" s="1"/>
  <c r="A13" i="54"/>
  <c r="E12" i="54"/>
  <c r="A12" i="54"/>
  <c r="C7" i="54"/>
  <c r="C6" i="54"/>
  <c r="D19" i="1" s="1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E28" i="53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A12" i="53"/>
  <c r="C7" i="53"/>
  <c r="C6" i="53"/>
  <c r="D18" i="1" s="1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E20" i="52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20" i="52"/>
  <c r="A19" i="52"/>
  <c r="E18" i="52"/>
  <c r="E19" i="52" s="1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A12" i="52"/>
  <c r="C7" i="52"/>
  <c r="C6" i="52"/>
  <c r="C8" i="52" s="1"/>
  <c r="F17" i="1" s="1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E21" i="5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21" i="51"/>
  <c r="A20" i="51"/>
  <c r="A19" i="51"/>
  <c r="A18" i="51"/>
  <c r="A17" i="51"/>
  <c r="A16" i="51"/>
  <c r="A15" i="51"/>
  <c r="A14" i="51"/>
  <c r="E13" i="51"/>
  <c r="E14" i="51" s="1"/>
  <c r="E15" i="51" s="1"/>
  <c r="E16" i="51" s="1"/>
  <c r="E17" i="51" s="1"/>
  <c r="E18" i="51" s="1"/>
  <c r="E19" i="51" s="1"/>
  <c r="E20" i="51" s="1"/>
  <c r="A13" i="51"/>
  <c r="E12" i="51"/>
  <c r="A12" i="51"/>
  <c r="C7" i="51"/>
  <c r="C6" i="51"/>
  <c r="D16" i="1" s="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E18" i="50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8" i="50"/>
  <c r="A17" i="50"/>
  <c r="E16" i="50"/>
  <c r="E17" i="50" s="1"/>
  <c r="A16" i="50"/>
  <c r="A15" i="50"/>
  <c r="E14" i="50"/>
  <c r="E15" i="50" s="1"/>
  <c r="A14" i="50"/>
  <c r="A13" i="50"/>
  <c r="E12" i="50"/>
  <c r="E13" i="50" s="1"/>
  <c r="A12" i="50"/>
  <c r="C7" i="50"/>
  <c r="C6" i="50"/>
  <c r="C8" i="50" s="1"/>
  <c r="F15" i="1" s="1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E13" i="49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3" i="49"/>
  <c r="E12" i="49"/>
  <c r="A12" i="49"/>
  <c r="C7" i="49"/>
  <c r="C8" i="49" s="1"/>
  <c r="F14" i="1" s="1"/>
  <c r="C6" i="49"/>
  <c r="D14" i="1" s="1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E13" i="47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3" i="47"/>
  <c r="E12" i="47"/>
  <c r="A12" i="47"/>
  <c r="C7" i="47"/>
  <c r="C6" i="47"/>
  <c r="D12" i="1" s="1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C6" i="46"/>
  <c r="C8" i="46" s="1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E15" i="45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5" i="45"/>
  <c r="A14" i="45"/>
  <c r="E13" i="45"/>
  <c r="E14" i="45" s="1"/>
  <c r="A13" i="45"/>
  <c r="E12" i="45"/>
  <c r="A12" i="45"/>
  <c r="C7" i="45"/>
  <c r="C8" i="45" s="1"/>
  <c r="C6" i="45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E47" i="44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E15" i="44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A15" i="44"/>
  <c r="A14" i="44"/>
  <c r="E13" i="44"/>
  <c r="E14" i="44" s="1"/>
  <c r="A13" i="44"/>
  <c r="E12" i="44"/>
  <c r="A12" i="44"/>
  <c r="C8" i="44"/>
  <c r="C7" i="44"/>
  <c r="C6" i="44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E17" i="43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E41" i="43" s="1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17" i="43"/>
  <c r="A16" i="43"/>
  <c r="E15" i="43"/>
  <c r="E16" i="43" s="1"/>
  <c r="A15" i="43"/>
  <c r="A14" i="43"/>
  <c r="E13" i="43"/>
  <c r="E14" i="43" s="1"/>
  <c r="A13" i="43"/>
  <c r="E12" i="43"/>
  <c r="A12" i="43"/>
  <c r="C7" i="43"/>
  <c r="C6" i="43"/>
  <c r="C8" i="43" s="1"/>
  <c r="F31" i="1" s="1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C6" i="42"/>
  <c r="C8" i="42" s="1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E109" i="4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E93" i="4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A12" i="41"/>
  <c r="C7" i="41"/>
  <c r="C6" i="4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E22" i="40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22" i="40"/>
  <c r="A21" i="40"/>
  <c r="A20" i="40"/>
  <c r="A19" i="40"/>
  <c r="A18" i="40"/>
  <c r="A17" i="40"/>
  <c r="A16" i="40"/>
  <c r="A15" i="40"/>
  <c r="E14" i="40"/>
  <c r="E15" i="40" s="1"/>
  <c r="E16" i="40" s="1"/>
  <c r="E17" i="40" s="1"/>
  <c r="E18" i="40" s="1"/>
  <c r="E19" i="40" s="1"/>
  <c r="E20" i="40" s="1"/>
  <c r="E21" i="40" s="1"/>
  <c r="A14" i="40"/>
  <c r="A13" i="40"/>
  <c r="E12" i="40"/>
  <c r="E13" i="40" s="1"/>
  <c r="A12" i="40"/>
  <c r="C7" i="40"/>
  <c r="C6" i="40"/>
  <c r="D28" i="1" s="1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E229" i="39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E13" i="39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A13" i="39"/>
  <c r="E12" i="39"/>
  <c r="A12" i="39"/>
  <c r="C8" i="39"/>
  <c r="C7" i="39"/>
  <c r="C6" i="39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E14" i="38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4" i="38"/>
  <c r="A13" i="38"/>
  <c r="E12" i="38"/>
  <c r="E13" i="38" s="1"/>
  <c r="A12" i="38"/>
  <c r="C7" i="38"/>
  <c r="C6" i="38"/>
  <c r="C8" i="38" s="1"/>
  <c r="F26" i="1" s="1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E13" i="37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3" i="37"/>
  <c r="E12" i="37"/>
  <c r="A12" i="37"/>
  <c r="C7" i="37"/>
  <c r="C6" i="37"/>
  <c r="D25" i="1" s="1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C6" i="36"/>
  <c r="C8" i="36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E13" i="35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3" i="35"/>
  <c r="E12" i="35"/>
  <c r="A12" i="35"/>
  <c r="C7" i="35"/>
  <c r="C8" i="35" s="1"/>
  <c r="F23" i="1" s="1"/>
  <c r="C6" i="35"/>
  <c r="D23" i="1" s="1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E22" i="34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22" i="34"/>
  <c r="A21" i="34"/>
  <c r="A20" i="34"/>
  <c r="A19" i="34"/>
  <c r="A18" i="34"/>
  <c r="A17" i="34"/>
  <c r="E16" i="34"/>
  <c r="E17" i="34" s="1"/>
  <c r="E18" i="34" s="1"/>
  <c r="E19" i="34" s="1"/>
  <c r="E20" i="34" s="1"/>
  <c r="E21" i="34" s="1"/>
  <c r="A16" i="34"/>
  <c r="A15" i="34"/>
  <c r="E14" i="34"/>
  <c r="E15" i="34" s="1"/>
  <c r="A14" i="34"/>
  <c r="A13" i="34"/>
  <c r="E12" i="34"/>
  <c r="E13" i="34" s="1"/>
  <c r="A12" i="34"/>
  <c r="C7" i="34"/>
  <c r="C6" i="34"/>
  <c r="D42" i="1" s="1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E13" i="33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3" i="33"/>
  <c r="E12" i="33"/>
  <c r="A12" i="33"/>
  <c r="C8" i="33"/>
  <c r="C7" i="33"/>
  <c r="C6" i="33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E16" i="32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6" i="32"/>
  <c r="A15" i="32"/>
  <c r="E14" i="32"/>
  <c r="E15" i="32" s="1"/>
  <c r="A14" i="32"/>
  <c r="A13" i="32"/>
  <c r="E12" i="32"/>
  <c r="E13" i="32" s="1"/>
  <c r="A12" i="32"/>
  <c r="C7" i="32"/>
  <c r="C6" i="32"/>
  <c r="C8" i="32" s="1"/>
  <c r="F40" i="1" s="1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E17" i="3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7" i="31"/>
  <c r="A16" i="31"/>
  <c r="E15" i="31"/>
  <c r="E16" i="31" s="1"/>
  <c r="A15" i="31"/>
  <c r="A14" i="31"/>
  <c r="E13" i="31"/>
  <c r="E14" i="31" s="1"/>
  <c r="A13" i="31"/>
  <c r="E12" i="31"/>
  <c r="A12" i="31"/>
  <c r="C7" i="31"/>
  <c r="C6" i="31"/>
  <c r="C8" i="31" s="1"/>
  <c r="F39" i="1" s="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E23" i="30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23" i="30"/>
  <c r="A22" i="30"/>
  <c r="A21" i="30"/>
  <c r="A20" i="30"/>
  <c r="A19" i="30"/>
  <c r="A18" i="30"/>
  <c r="A17" i="30"/>
  <c r="A16" i="30"/>
  <c r="A15" i="30"/>
  <c r="A14" i="30"/>
  <c r="E13" i="30"/>
  <c r="E14" i="30" s="1"/>
  <c r="E15" i="30" s="1"/>
  <c r="E16" i="30" s="1"/>
  <c r="E17" i="30" s="1"/>
  <c r="E18" i="30" s="1"/>
  <c r="E19" i="30" s="1"/>
  <c r="E20" i="30" s="1"/>
  <c r="E21" i="30" s="1"/>
  <c r="E22" i="30" s="1"/>
  <c r="A13" i="30"/>
  <c r="E12" i="30"/>
  <c r="A12" i="30"/>
  <c r="C7" i="30"/>
  <c r="E38" i="1" s="1"/>
  <c r="C6" i="30"/>
  <c r="D38" i="1" s="1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E18" i="29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8" i="29"/>
  <c r="A17" i="29"/>
  <c r="E16" i="29"/>
  <c r="E17" i="29" s="1"/>
  <c r="A16" i="29"/>
  <c r="A15" i="29"/>
  <c r="E14" i="29"/>
  <c r="E15" i="29" s="1"/>
  <c r="A14" i="29"/>
  <c r="A13" i="29"/>
  <c r="E12" i="29"/>
  <c r="E13" i="29" s="1"/>
  <c r="A12" i="29"/>
  <c r="C7" i="29"/>
  <c r="C6" i="29"/>
  <c r="C8" i="29" s="1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E15" i="28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5" i="28"/>
  <c r="A14" i="28"/>
  <c r="E13" i="28"/>
  <c r="E14" i="28" s="1"/>
  <c r="A13" i="28"/>
  <c r="E12" i="28"/>
  <c r="A12" i="28"/>
  <c r="C7" i="28"/>
  <c r="C6" i="28"/>
  <c r="C8" i="28" s="1"/>
  <c r="F36" i="1" s="1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E20" i="27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20" i="27"/>
  <c r="A19" i="27"/>
  <c r="E18" i="27"/>
  <c r="E19" i="27" s="1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A12" i="27"/>
  <c r="C7" i="27"/>
  <c r="C6" i="27"/>
  <c r="C8" i="27" s="1"/>
  <c r="F35" i="1" s="1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E13" i="26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3" i="26"/>
  <c r="E12" i="26"/>
  <c r="A12" i="26"/>
  <c r="C7" i="26"/>
  <c r="C6" i="26"/>
  <c r="D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8" i="25" s="1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E46" i="23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A14" i="23"/>
  <c r="A13" i="23"/>
  <c r="E12" i="23"/>
  <c r="E13" i="23" s="1"/>
  <c r="A12" i="23"/>
  <c r="C7" i="23"/>
  <c r="C6" i="23"/>
  <c r="C8" i="23" s="1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E365" i="22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E13" i="22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A13" i="22"/>
  <c r="E12" i="22"/>
  <c r="A12" i="22"/>
  <c r="C8" i="22"/>
  <c r="C7" i="22"/>
  <c r="C6" i="22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E15" i="2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5" i="21"/>
  <c r="A14" i="21"/>
  <c r="E13" i="21"/>
  <c r="E14" i="21" s="1"/>
  <c r="A13" i="21"/>
  <c r="E12" i="21"/>
  <c r="A12" i="21"/>
  <c r="C8" i="21"/>
  <c r="C7" i="21"/>
  <c r="C6" i="2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E18" i="20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A12" i="20"/>
  <c r="C7" i="20"/>
  <c r="C6" i="20"/>
  <c r="C8" i="20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E24" i="19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24" i="19"/>
  <c r="A23" i="19"/>
  <c r="A22" i="19"/>
  <c r="A21" i="19"/>
  <c r="A20" i="19"/>
  <c r="A19" i="19"/>
  <c r="E18" i="19"/>
  <c r="E19" i="19" s="1"/>
  <c r="E20" i="19" s="1"/>
  <c r="E21" i="19" s="1"/>
  <c r="E22" i="19" s="1"/>
  <c r="E23" i="19" s="1"/>
  <c r="A18" i="19"/>
  <c r="A17" i="19"/>
  <c r="E16" i="19"/>
  <c r="E17" i="19" s="1"/>
  <c r="A16" i="19"/>
  <c r="A15" i="19"/>
  <c r="E14" i="19"/>
  <c r="E15" i="19" s="1"/>
  <c r="A14" i="19"/>
  <c r="A13" i="19"/>
  <c r="E12" i="19"/>
  <c r="E13" i="19" s="1"/>
  <c r="A12" i="19"/>
  <c r="C7" i="19"/>
  <c r="C6" i="19"/>
  <c r="C8" i="19" s="1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E15" i="18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5" i="18"/>
  <c r="A14" i="18"/>
  <c r="E13" i="18"/>
  <c r="E14" i="18" s="1"/>
  <c r="A13" i="18"/>
  <c r="E12" i="18"/>
  <c r="A12" i="18"/>
  <c r="C8" i="18"/>
  <c r="C7" i="18"/>
  <c r="C6" i="18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E26" i="17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26" i="17"/>
  <c r="A25" i="17"/>
  <c r="A24" i="17"/>
  <c r="A23" i="17"/>
  <c r="A22" i="17"/>
  <c r="A21" i="17"/>
  <c r="E20" i="17"/>
  <c r="E21" i="17" s="1"/>
  <c r="E22" i="17" s="1"/>
  <c r="E23" i="17" s="1"/>
  <c r="E24" i="17" s="1"/>
  <c r="E25" i="17" s="1"/>
  <c r="A20" i="17"/>
  <c r="A19" i="17"/>
  <c r="E18" i="17"/>
  <c r="E19" i="17" s="1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A12" i="17"/>
  <c r="C7" i="17"/>
  <c r="C6" i="17"/>
  <c r="C8" i="17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E13" i="16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3" i="16"/>
  <c r="E12" i="16"/>
  <c r="A12" i="16"/>
  <c r="C7" i="16"/>
  <c r="C6" i="16"/>
  <c r="D45" i="1" s="1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C6" i="15"/>
  <c r="C8" i="15" s="1"/>
  <c r="F44" i="1" s="1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E13" i="14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3" i="14"/>
  <c r="E12" i="14"/>
  <c r="A12" i="14"/>
  <c r="C7" i="14"/>
  <c r="C8" i="14" s="1"/>
  <c r="F43" i="1" s="1"/>
  <c r="C6" i="14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C8" i="26" l="1"/>
  <c r="F34" i="1" s="1"/>
  <c r="D36" i="1"/>
  <c r="C8" i="51"/>
  <c r="F16" i="1" s="1"/>
  <c r="D39" i="1"/>
  <c r="C8" i="37"/>
  <c r="F25" i="1" s="1"/>
  <c r="D44" i="1"/>
  <c r="D17" i="1"/>
  <c r="D15" i="1"/>
  <c r="C8" i="16"/>
  <c r="F45" i="1" s="1"/>
  <c r="C8" i="54"/>
  <c r="F19" i="1" s="1"/>
  <c r="C8" i="47"/>
  <c r="F12" i="1" s="1"/>
  <c r="D35" i="1"/>
  <c r="D26" i="1"/>
  <c r="D40" i="1"/>
  <c r="D31" i="1"/>
  <c r="C8" i="30"/>
  <c r="F38" i="1" s="1"/>
  <c r="C8" i="53"/>
  <c r="F18" i="1" s="1"/>
  <c r="C8" i="40"/>
  <c r="F28" i="1" s="1"/>
  <c r="C8" i="41"/>
  <c r="C8" i="34"/>
  <c r="F42" i="1" s="1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<sst xmlns="http://schemas.openxmlformats.org/spreadsheetml/2006/main" count="653" uniqueCount="60">
  <si>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</si>
  <si>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</si>
  <si>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</si>
  <si>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</si>
  <si>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</si>
  <si>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</si>
  <si>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</si>
  <si>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</si>
  <si>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</si>
  <si>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</si>
  <si>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</si>
  <si>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</si>
  <si>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</si>
  <si>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</si>
  <si>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</si>
  <si>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</si>
  <si>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</si>
  <si>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</si>
  <si>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</si>
  <si>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Dramaga, …......................2026</t>
  </si>
  <si>
    <t>Pengelola Tabungan</t>
  </si>
  <si>
    <t>SARI MAYA, S.Pd., Gr.</t>
  </si>
  <si>
    <t>X - PM 2</t>
  </si>
  <si>
    <t>FAKIH MAHMUDIN</t>
  </si>
  <si>
    <t>GHISSAN FADLIKA</t>
  </si>
  <si>
    <t>JANWAR FAZRIAN</t>
  </si>
  <si>
    <t>LIVIA AFRIYANI</t>
  </si>
  <si>
    <t>M. FADILAH</t>
  </si>
  <si>
    <t>M. RENDI YANSYAH</t>
  </si>
  <si>
    <t>MICHELLE MEICILIA RAMADHANI PUTRI</t>
  </si>
  <si>
    <t>MOH SAYID ESA FATIH</t>
  </si>
  <si>
    <t>MUHAMAD AJI SAPUTRA</t>
  </si>
  <si>
    <t>MUHAMAD AWALUL AJRIL</t>
  </si>
  <si>
    <t>MUHAMAD FAUZAN</t>
  </si>
  <si>
    <t>MUHAMAD IKHWAN FADILLAH</t>
  </si>
  <si>
    <t>MUHAMAD RAPPI</t>
  </si>
  <si>
    <t>MUHAMAD SENO AJI</t>
  </si>
  <si>
    <t>MUHAMAD YUSUF ARDA BILI</t>
  </si>
  <si>
    <t>MUHAMAD ZIDAN BAWAFI</t>
  </si>
  <si>
    <t>MUHAMMAD FAHMI HIFJUDIN</t>
  </si>
  <si>
    <t>MUHAMMAD HAFIDZ SYABANI</t>
  </si>
  <si>
    <t>MUTIARA RAMADANI</t>
  </si>
  <si>
    <t>NAZRIEL MOCH ADITYA</t>
  </si>
  <si>
    <t>NOVRIADI TWBAGUS</t>
  </si>
  <si>
    <t>PAHRIANSYAH</t>
  </si>
  <si>
    <t>PUTRI OKTAVIANI</t>
  </si>
  <si>
    <t>RADIT PERMANA</t>
  </si>
  <si>
    <t>REPAN</t>
  </si>
  <si>
    <t>RIKO SAPUTRA</t>
  </si>
  <si>
    <t>RIYANTI RAMADHANI</t>
  </si>
  <si>
    <t>SAKINAH</t>
  </si>
  <si>
    <t>SAPUTRA</t>
  </si>
  <si>
    <t>SAQIF HENDARYANA</t>
  </si>
  <si>
    <t>SENDI FIRMANSAH</t>
  </si>
  <si>
    <t>SHIFA AULIA</t>
  </si>
  <si>
    <t>SILVANA WULANDARI</t>
  </si>
  <si>
    <t>SITI FIRDASARI AWAFA</t>
  </si>
  <si>
    <t>SITI NAZWATUL FIKA</t>
  </si>
  <si>
    <t>SULTAN EKA BUDJANA</t>
  </si>
  <si>
    <t>M. REHAN TIANSYAH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</si>
</sst>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F1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7" t="s">
        <v>0</v>
      </c>
      <c r="B1" s="17"/>
      <c r="C1" s="17"/>
      <c r="D1" s="17"/>
      <c r="E1" s="17"/>
      <c r="F1" s="17"/>
    </row>
    <row r="2" spans="1:10" ht="18.75" x14ac:dyDescent="0.25">
      <c r="A2" s="17" t="s">
        <v>11</v>
      </c>
      <c r="B2" s="17"/>
      <c r="C2" s="17"/>
      <c r="D2" s="17"/>
      <c r="E2" s="17"/>
      <c r="F2" s="17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18" t="s">
        <v>1</v>
      </c>
      <c r="B4" s="18"/>
      <c r="C4" s="15" t="s">
        <v>22</v>
      </c>
      <c r="D4" s="10"/>
      <c r="E4" s="10"/>
      <c r="F4" s="10"/>
    </row>
    <row r="5" spans="1:10" x14ac:dyDescent="0.25">
      <c r="A5" s="18" t="s">
        <v>2</v>
      </c>
      <c r="B5" s="18"/>
      <c r="C5" s="15" t="s">
        <v>10</v>
      </c>
      <c r="D5" s="10"/>
      <c r="E5" s="10"/>
      <c r="F5" s="10"/>
    </row>
    <row r="6" spans="1:10" x14ac:dyDescent="0.25">
      <c r="A6" s="18" t="s">
        <v>3</v>
      </c>
      <c r="B6" s="18"/>
      <c r="C6" s="16">
        <f>SUM(F9:F58)</f>
        <v>1564000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251001619</v>
      </c>
      <c r="C9" s="12" t="s">
        <v>23</v>
      </c>
      <c r="D9" s="14">
        <f>'1'!C6</f>
        <v>0</v>
      </c>
      <c r="E9" s="14">
        <f>'1'!C7</f>
        <v>0</v>
      </c>
      <c r="F9" s="14">
        <f>'1'!C8</f>
        <v>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251001620</v>
      </c>
      <c r="C10" s="12" t="s">
        <v>24</v>
      </c>
      <c r="D10" s="14">
        <f>'2'!C6</f>
        <v>0</v>
      </c>
      <c r="E10" s="14">
        <f>'2'!C7</f>
        <v>0</v>
      </c>
      <c r="F10" s="14">
        <f>'2'!C8</f>
        <v>0</v>
      </c>
      <c r="H10" s="13"/>
      <c r="I10" s="13"/>
      <c r="J10" s="13"/>
    </row>
    <row r="11" spans="1:10" x14ac:dyDescent="0.25">
      <c r="A11" s="2">
        <f t="shared" si="0"/>
        <v>3</v>
      </c>
      <c r="B11" s="11">
        <v>251001621</v>
      </c>
      <c r="C11" s="12" t="s">
        <v>25</v>
      </c>
      <c r="D11" s="14">
        <f>'3'!C6</f>
        <v>0</v>
      </c>
      <c r="E11" s="14">
        <f>'3'!C7</f>
        <v>0</v>
      </c>
      <c r="F11" s="14">
        <f>'3'!C8</f>
        <v>0</v>
      </c>
      <c r="H11" s="13"/>
      <c r="I11" s="13"/>
      <c r="J11" s="13"/>
    </row>
    <row r="12" spans="1:10" x14ac:dyDescent="0.25">
      <c r="A12" s="2">
        <f t="shared" si="0"/>
        <v>4</v>
      </c>
      <c r="B12" s="11">
        <v>251001622</v>
      </c>
      <c r="C12" s="12" t="s">
        <v>26</v>
      </c>
      <c r="D12" s="14">
        <f>'4'!C6</f>
        <v>140000</v>
      </c>
      <c r="E12" s="14">
        <f>'4'!C7</f>
        <v>0</v>
      </c>
      <c r="F12" s="14">
        <f>'4'!C8</f>
        <v>140000</v>
      </c>
      <c r="H12" s="13"/>
      <c r="I12" s="13"/>
      <c r="J12" s="13"/>
    </row>
    <row r="13" spans="1:10" x14ac:dyDescent="0.25">
      <c r="A13" s="2">
        <f t="shared" si="0"/>
        <v>5</v>
      </c>
      <c r="B13" s="11">
        <v>251001623</v>
      </c>
      <c r="C13" s="12" t="s">
        <v>27</v>
      </c>
      <c r="D13" s="14">
        <f>'5'!C6</f>
        <v>0</v>
      </c>
      <c r="E13" s="14">
        <f>'5'!C7</f>
        <v>0</v>
      </c>
      <c r="F13" s="14">
        <f>'5'!C8</f>
        <v>0</v>
      </c>
      <c r="H13" s="13"/>
      <c r="I13" s="13"/>
      <c r="J13" s="13"/>
    </row>
    <row r="14" spans="1:10" x14ac:dyDescent="0.25">
      <c r="A14" s="2">
        <f t="shared" si="0"/>
        <v>6</v>
      </c>
      <c r="B14" s="11">
        <v>251001624</v>
      </c>
      <c r="C14" s="12" t="s">
        <v>28</v>
      </c>
      <c r="D14" s="14">
        <f>'6'!C6</f>
        <v>25000</v>
      </c>
      <c r="E14" s="14">
        <f>'6'!C7</f>
        <v>0</v>
      </c>
      <c r="F14" s="14">
        <f>'6'!C8</f>
        <v>25000</v>
      </c>
      <c r="H14" s="13"/>
      <c r="I14" s="13"/>
      <c r="J14" s="13"/>
    </row>
    <row r="15" spans="1:10" x14ac:dyDescent="0.25">
      <c r="A15" s="2">
        <f t="shared" si="0"/>
        <v>7</v>
      </c>
      <c r="B15" s="11">
        <v>251001625</v>
      </c>
      <c r="C15" s="12" t="s">
        <v>29</v>
      </c>
      <c r="D15" s="14">
        <f>'7'!C6</f>
        <v>5000</v>
      </c>
      <c r="E15" s="14">
        <f>'7'!C7</f>
        <v>0</v>
      </c>
      <c r="F15" s="14">
        <f>'7'!C8</f>
        <v>5000</v>
      </c>
      <c r="H15" s="13"/>
      <c r="I15" s="13"/>
      <c r="J15" s="13"/>
    </row>
    <row r="16" spans="1:10" x14ac:dyDescent="0.25">
      <c r="A16" s="2">
        <f t="shared" si="0"/>
        <v>8</v>
      </c>
      <c r="B16" s="11">
        <v>251001626</v>
      </c>
      <c r="C16" s="12" t="s">
        <v>30</v>
      </c>
      <c r="D16" s="14">
        <f>'8'!C6</f>
        <v>26000</v>
      </c>
      <c r="E16" s="14">
        <f>'8'!C7</f>
        <v>0</v>
      </c>
      <c r="F16" s="14">
        <f>'8'!C8</f>
        <v>26000</v>
      </c>
      <c r="H16" s="13"/>
      <c r="I16" s="13"/>
      <c r="J16" s="13"/>
    </row>
    <row r="17" spans="1:10" x14ac:dyDescent="0.25">
      <c r="A17" s="2">
        <f t="shared" si="0"/>
        <v>9</v>
      </c>
      <c r="B17" s="11">
        <v>251001627</v>
      </c>
      <c r="C17" s="12" t="s">
        <v>31</v>
      </c>
      <c r="D17" s="14">
        <f>'9'!C6</f>
        <v>65000</v>
      </c>
      <c r="E17" s="14">
        <f>'9'!C7</f>
        <v>0</v>
      </c>
      <c r="F17" s="14">
        <f>'9'!C8</f>
        <v>65000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251001628</v>
      </c>
      <c r="C18" s="12" t="s">
        <v>32</v>
      </c>
      <c r="D18" s="14">
        <f>'10'!C6</f>
        <v>52000</v>
      </c>
      <c r="E18" s="14">
        <f>'10'!C7</f>
        <v>0</v>
      </c>
      <c r="F18" s="14">
        <f>'10'!C8</f>
        <v>52000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251001629</v>
      </c>
      <c r="C19" s="12" t="s">
        <v>33</v>
      </c>
      <c r="D19" s="14">
        <f>'11'!C6</f>
        <v>180000</v>
      </c>
      <c r="E19" s="14">
        <f>'11'!C7</f>
        <v>0</v>
      </c>
      <c r="F19" s="14">
        <f>'11'!C8</f>
        <v>180000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251001630</v>
      </c>
      <c r="C20" s="12" t="s">
        <v>34</v>
      </c>
      <c r="D20" s="14">
        <f>'12'!C6</f>
        <v>0</v>
      </c>
      <c r="E20" s="14">
        <f>'12'!C7</f>
        <v>0</v>
      </c>
      <c r="F20" s="14">
        <f>'12'!C8</f>
        <v>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251001631</v>
      </c>
      <c r="C21" s="12" t="s">
        <v>35</v>
      </c>
      <c r="D21" s="14">
        <f>'13'!C6</f>
        <v>0</v>
      </c>
      <c r="E21" s="14">
        <f>'13'!C7</f>
        <v>0</v>
      </c>
      <c r="F21" s="14">
        <f>'13'!C8</f>
        <v>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251001632</v>
      </c>
      <c r="C22" s="12" t="s">
        <v>36</v>
      </c>
      <c r="D22" s="14">
        <f>'14'!C6</f>
        <v>0</v>
      </c>
      <c r="E22" s="14">
        <f>'14'!C7</f>
        <v>0</v>
      </c>
      <c r="F22" s="14">
        <f>'14'!C8</f>
        <v>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251001633</v>
      </c>
      <c r="C23" s="12" t="s">
        <v>37</v>
      </c>
      <c r="D23" s="14">
        <f>'15'!C6</f>
        <v>35000</v>
      </c>
      <c r="E23" s="14">
        <f>'15'!C7</f>
        <v>0</v>
      </c>
      <c r="F23" s="14">
        <f>'15'!C8</f>
        <v>35000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251001634</v>
      </c>
      <c r="C24" s="12" t="s">
        <v>38</v>
      </c>
      <c r="D24" s="14">
        <f>'16'!C6</f>
        <v>0</v>
      </c>
      <c r="E24" s="14">
        <f>'16'!C7</f>
        <v>0</v>
      </c>
      <c r="F24" s="14">
        <f>'16'!C8</f>
        <v>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251001635</v>
      </c>
      <c r="C25" s="12" t="s">
        <v>39</v>
      </c>
      <c r="D25" s="14">
        <f>'17'!C6</f>
        <v>90000</v>
      </c>
      <c r="E25" s="14">
        <f>'17'!C7</f>
        <v>0</v>
      </c>
      <c r="F25" s="14">
        <f>'17'!C8</f>
        <v>90000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251001636</v>
      </c>
      <c r="C26" s="12" t="s">
        <v>40</v>
      </c>
      <c r="D26" s="14">
        <f>'18'!C6</f>
        <v>10000</v>
      </c>
      <c r="E26" s="14">
        <f>'18'!C7</f>
        <v>0</v>
      </c>
      <c r="F26" s="14">
        <f>'18'!C8</f>
        <v>10000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251001637</v>
      </c>
      <c r="C27" s="12" t="s">
        <v>41</v>
      </c>
      <c r="D27" s="14">
        <f>'19'!C6</f>
        <v>0</v>
      </c>
      <c r="E27" s="14">
        <f>'19'!C7</f>
        <v>0</v>
      </c>
      <c r="F27" s="14">
        <f>'19'!C8</f>
        <v>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251001638</v>
      </c>
      <c r="C28" s="12" t="s">
        <v>42</v>
      </c>
      <c r="D28" s="14">
        <f>'20'!C6</f>
        <v>50000</v>
      </c>
      <c r="E28" s="14">
        <f>'20'!C7</f>
        <v>0</v>
      </c>
      <c r="F28" s="14">
        <f>'20'!C8</f>
        <v>50000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251001639</v>
      </c>
      <c r="C29" s="12" t="s">
        <v>43</v>
      </c>
      <c r="D29" s="14">
        <f>'21'!C6</f>
        <v>0</v>
      </c>
      <c r="E29" s="14">
        <f>'21'!C7</f>
        <v>0</v>
      </c>
      <c r="F29" s="14">
        <f>'21'!C8</f>
        <v>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251001640</v>
      </c>
      <c r="C30" s="12" t="s">
        <v>44</v>
      </c>
      <c r="D30" s="14">
        <f>'22'!C6</f>
        <v>0</v>
      </c>
      <c r="E30" s="14">
        <f>'22'!C7</f>
        <v>0</v>
      </c>
      <c r="F30" s="14">
        <f>'22'!C8</f>
        <v>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251001641</v>
      </c>
      <c r="C31" s="12" t="s">
        <v>45</v>
      </c>
      <c r="D31" s="14">
        <f>'23'!C6</f>
        <v>23000</v>
      </c>
      <c r="E31" s="14">
        <f>'23'!C7</f>
        <v>0</v>
      </c>
      <c r="F31" s="14">
        <f>'23'!C8</f>
        <v>23000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251001642</v>
      </c>
      <c r="C32" s="12" t="s">
        <v>46</v>
      </c>
      <c r="D32" s="14">
        <f>'24'!C6</f>
        <v>0</v>
      </c>
      <c r="E32" s="14">
        <f>'24'!C7</f>
        <v>0</v>
      </c>
      <c r="F32" s="14">
        <f>'24'!C8</f>
        <v>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251001643</v>
      </c>
      <c r="C33" s="12" t="s">
        <v>47</v>
      </c>
      <c r="D33" s="14">
        <f>'25'!C6</f>
        <v>0</v>
      </c>
      <c r="E33" s="14">
        <f>'25'!C7</f>
        <v>0</v>
      </c>
      <c r="F33" s="14">
        <f>'25'!C8</f>
        <v>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251001644</v>
      </c>
      <c r="C34" s="12" t="s">
        <v>48</v>
      </c>
      <c r="D34" s="14">
        <f>'26'!C6</f>
        <v>500000</v>
      </c>
      <c r="E34" s="14">
        <f>'26'!C7</f>
        <v>0</v>
      </c>
      <c r="F34" s="14">
        <f>'26'!C8</f>
        <v>500000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251001645</v>
      </c>
      <c r="C35" s="12" t="s">
        <v>49</v>
      </c>
      <c r="D35" s="14">
        <f>'27'!C6</f>
        <v>15000</v>
      </c>
      <c r="E35" s="14">
        <f>'27'!C7</f>
        <v>0</v>
      </c>
      <c r="F35" s="14">
        <f>'27'!C8</f>
        <v>15000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251001646</v>
      </c>
      <c r="C36" s="12" t="s">
        <v>50</v>
      </c>
      <c r="D36" s="14">
        <f>'28'!C6</f>
        <v>21000</v>
      </c>
      <c r="E36" s="14">
        <f>'28'!C7</f>
        <v>0</v>
      </c>
      <c r="F36" s="14">
        <f>'28'!C8</f>
        <v>21000</v>
      </c>
      <c r="H36" s="13"/>
      <c r="I36" s="13"/>
      <c r="J36" s="13"/>
    </row>
    <row r="37" spans="1:10" x14ac:dyDescent="0.25">
      <c r="A37" s="2">
        <f t="shared" si="0"/>
        <v>29</v>
      </c>
      <c r="B37" s="11">
        <v>251001647</v>
      </c>
      <c r="C37" s="12" t="s">
        <v>51</v>
      </c>
      <c r="D37" s="14">
        <f>'29'!C6</f>
        <v>0</v>
      </c>
      <c r="E37" s="14">
        <f>'29'!C7</f>
        <v>0</v>
      </c>
      <c r="F37" s="14">
        <f>'29'!C8</f>
        <v>0</v>
      </c>
      <c r="H37" s="13"/>
      <c r="I37" s="13"/>
      <c r="J37" s="13"/>
    </row>
    <row r="38" spans="1:10" x14ac:dyDescent="0.25">
      <c r="A38" s="2">
        <f t="shared" si="0"/>
        <v>30</v>
      </c>
      <c r="B38" s="11">
        <v>251001648</v>
      </c>
      <c r="C38" s="12" t="s">
        <v>52</v>
      </c>
      <c r="D38" s="14">
        <f>'30'!C6</f>
        <v>420000</v>
      </c>
      <c r="E38" s="14">
        <f>'30'!C7</f>
        <v>210000</v>
      </c>
      <c r="F38" s="14">
        <f>'30'!C8</f>
        <v>210000</v>
      </c>
      <c r="H38" s="13"/>
      <c r="I38" s="13"/>
      <c r="J38" s="13"/>
    </row>
    <row r="39" spans="1:10" x14ac:dyDescent="0.25">
      <c r="A39" s="2">
        <f t="shared" si="0"/>
        <v>31</v>
      </c>
      <c r="B39" s="11">
        <v>251001649</v>
      </c>
      <c r="C39" s="12" t="s">
        <v>53</v>
      </c>
      <c r="D39" s="14">
        <f>'31'!C6</f>
        <v>10000</v>
      </c>
      <c r="E39" s="14">
        <f>'31'!C7</f>
        <v>0</v>
      </c>
      <c r="F39" s="14">
        <f>'31'!C8</f>
        <v>10000</v>
      </c>
      <c r="H39" s="13"/>
      <c r="I39" s="13"/>
      <c r="J39" s="13"/>
    </row>
    <row r="40" spans="1:10" x14ac:dyDescent="0.25">
      <c r="A40" s="2">
        <f t="shared" si="0"/>
        <v>32</v>
      </c>
      <c r="B40" s="11">
        <v>251001650</v>
      </c>
      <c r="C40" s="12" t="s">
        <v>54</v>
      </c>
      <c r="D40" s="14">
        <f>'32'!C6</f>
        <v>7000</v>
      </c>
      <c r="E40" s="14">
        <f>'32'!C7</f>
        <v>0</v>
      </c>
      <c r="F40" s="14">
        <f>'32'!C8</f>
        <v>7000</v>
      </c>
      <c r="H40" s="13"/>
      <c r="I40" s="13"/>
      <c r="J40" s="13"/>
    </row>
    <row r="41" spans="1:10" x14ac:dyDescent="0.25">
      <c r="A41" s="2">
        <f t="shared" si="0"/>
        <v>33</v>
      </c>
      <c r="B41" s="11">
        <v>251001651</v>
      </c>
      <c r="C41" s="12" t="s">
        <v>55</v>
      </c>
      <c r="D41" s="14">
        <f>'33'!C6</f>
        <v>0</v>
      </c>
      <c r="E41" s="14">
        <f>'33'!C7</f>
        <v>0</v>
      </c>
      <c r="F41" s="14">
        <f>'33'!C8</f>
        <v>0</v>
      </c>
      <c r="H41" s="13"/>
      <c r="I41" s="13"/>
      <c r="J41" s="13"/>
    </row>
    <row r="42" spans="1:10" x14ac:dyDescent="0.25">
      <c r="A42" s="2">
        <f t="shared" si="0"/>
        <v>34</v>
      </c>
      <c r="B42" s="11">
        <v>251001652</v>
      </c>
      <c r="C42" s="12" t="s">
        <v>56</v>
      </c>
      <c r="D42" s="14">
        <f>'34'!C6</f>
        <v>20000</v>
      </c>
      <c r="E42" s="14">
        <f>'34'!C7</f>
        <v>0</v>
      </c>
      <c r="F42" s="14">
        <f>'34'!C8</f>
        <v>20000</v>
      </c>
      <c r="H42" s="13"/>
      <c r="I42" s="13"/>
      <c r="J42" s="13"/>
    </row>
    <row r="43" spans="1:10" x14ac:dyDescent="0.25">
      <c r="A43" s="2">
        <f t="shared" si="0"/>
        <v>35</v>
      </c>
      <c r="B43" s="11">
        <v>251001653</v>
      </c>
      <c r="C43" s="12" t="s">
        <v>57</v>
      </c>
      <c r="D43" s="14">
        <f>'35'!C6</f>
        <v>5000</v>
      </c>
      <c r="E43" s="14">
        <f>'35'!C7</f>
        <v>0</v>
      </c>
      <c r="F43" s="14">
        <f>'35'!C8</f>
        <v>5000</v>
      </c>
      <c r="H43" s="13"/>
      <c r="I43" s="13"/>
      <c r="J43" s="13"/>
    </row>
    <row r="44" spans="1:10" x14ac:dyDescent="0.25">
      <c r="A44" s="2">
        <f t="shared" si="0"/>
        <v>36</v>
      </c>
      <c r="B44" s="11">
        <v>251001654</v>
      </c>
      <c r="C44" s="12" t="s">
        <v>58</v>
      </c>
      <c r="D44" s="14">
        <f>'36'!C6</f>
        <v>55000</v>
      </c>
      <c r="E44" s="14">
        <f>'36'!C7</f>
        <v>0</v>
      </c>
      <c r="F44" s="14">
        <f>'36'!C8</f>
        <v>55000</v>
      </c>
      <c r="H44" s="13"/>
      <c r="I44" s="13"/>
      <c r="J44" s="13"/>
    </row>
    <row r="45" spans="1:10" x14ac:dyDescent="0.25">
      <c r="A45" s="2">
        <f t="shared" si="0"/>
        <v>37</v>
      </c>
      <c r="B45" s="11">
        <v>37</v>
      </c>
      <c r="C45" s="12" t="s">
        <v>59</v>
      </c>
      <c r="D45" s="14">
        <f>'37'!C6</f>
        <v>20000</v>
      </c>
      <c r="E45" s="14">
        <f>'37'!C7</f>
        <v>0</v>
      </c>
      <c r="F45" s="14">
        <f>'37'!C8</f>
        <v>20000</v>
      </c>
      <c r="H45" s="13"/>
      <c r="I45" s="13"/>
      <c r="J45" s="13"/>
    </row>
    <row r="46" spans="1:10" x14ac:dyDescent="0.25">
      <c r="A46" s="2">
        <f t="shared" si="0"/>
        <v>38</v>
      </c>
      <c r="B46" s="11">
        <v>38</v>
      </c>
      <c r="C46" s="12">
        <v>38</v>
      </c>
      <c r="D46" s="14">
        <f>'38'!C6</f>
        <v>0</v>
      </c>
      <c r="E46" s="14">
        <f>'38'!C7</f>
        <v>0</v>
      </c>
      <c r="F46" s="14">
        <f>'38'!C8</f>
        <v>0</v>
      </c>
      <c r="H46" s="13"/>
      <c r="I46" s="13"/>
      <c r="J46" s="13"/>
    </row>
    <row r="47" spans="1:10" x14ac:dyDescent="0.25">
      <c r="A47" s="2">
        <f t="shared" si="0"/>
        <v>39</v>
      </c>
      <c r="B47" s="11">
        <v>39</v>
      </c>
      <c r="C47" s="12">
        <v>39</v>
      </c>
      <c r="D47" s="14">
        <f>'39'!C6</f>
        <v>0</v>
      </c>
      <c r="E47" s="14">
        <f>'39'!C7</f>
        <v>0</v>
      </c>
      <c r="F47" s="14">
        <f>'39'!C8</f>
        <v>0</v>
      </c>
      <c r="H47" s="13"/>
      <c r="I47" s="13"/>
      <c r="J47" s="13"/>
    </row>
    <row r="48" spans="1:10" x14ac:dyDescent="0.25">
      <c r="A48" s="2">
        <f t="shared" si="0"/>
        <v>40</v>
      </c>
      <c r="B48" s="11">
        <v>40</v>
      </c>
      <c r="C48" s="12">
        <v>40</v>
      </c>
      <c r="D48" s="14">
        <f>'40'!C6</f>
        <v>0</v>
      </c>
      <c r="E48" s="14">
        <f>'40'!C7</f>
        <v>0</v>
      </c>
      <c r="F48" s="14">
        <f>'40'!C8</f>
        <v>0</v>
      </c>
      <c r="H48" s="13"/>
      <c r="I48" s="13"/>
      <c r="J48" s="13"/>
    </row>
    <row r="49" spans="1:10" x14ac:dyDescent="0.25">
      <c r="A49" s="2">
        <f t="shared" si="0"/>
        <v>41</v>
      </c>
      <c r="B49" s="11">
        <v>41</v>
      </c>
      <c r="C49" s="12">
        <v>41</v>
      </c>
      <c r="D49" s="14">
        <f>'41'!C6</f>
        <v>0</v>
      </c>
      <c r="E49" s="14">
        <f>'41'!C7</f>
        <v>0</v>
      </c>
      <c r="F49" s="14">
        <f>'41'!C8</f>
        <v>0</v>
      </c>
      <c r="H49" s="13"/>
      <c r="I49" s="13"/>
      <c r="J49" s="13"/>
    </row>
    <row r="50" spans="1:10" x14ac:dyDescent="0.25">
      <c r="A50" s="2">
        <f t="shared" si="0"/>
        <v>42</v>
      </c>
      <c r="B50" s="11">
        <v>42</v>
      </c>
      <c r="C50" s="12">
        <v>42</v>
      </c>
      <c r="D50" s="14">
        <f>'42'!C6</f>
        <v>0</v>
      </c>
      <c r="E50" s="14">
        <f>'42'!C7</f>
        <v>0</v>
      </c>
      <c r="F50" s="14">
        <f>'42'!C8</f>
        <v>0</v>
      </c>
      <c r="H50" s="13"/>
      <c r="I50" s="13"/>
      <c r="J50" s="13"/>
    </row>
    <row r="51" spans="1:10" x14ac:dyDescent="0.25">
      <c r="A51" s="2">
        <f t="shared" si="0"/>
        <v>43</v>
      </c>
      <c r="B51" s="11">
        <v>43</v>
      </c>
      <c r="C51" s="12">
        <v>43</v>
      </c>
      <c r="D51" s="14">
        <f>'43'!C6</f>
        <v>0</v>
      </c>
      <c r="E51" s="14">
        <f>'43'!C7</f>
        <v>0</v>
      </c>
      <c r="F51" s="14">
        <f>'43'!C8</f>
        <v>0</v>
      </c>
      <c r="H51" s="13"/>
      <c r="I51" s="13"/>
      <c r="J51" s="13"/>
    </row>
    <row r="52" spans="1:10" x14ac:dyDescent="0.25">
      <c r="A52" s="2">
        <f t="shared" si="0"/>
        <v>44</v>
      </c>
      <c r="B52" s="11">
        <v>44</v>
      </c>
      <c r="C52" s="12">
        <v>44</v>
      </c>
      <c r="D52" s="14">
        <f>'44'!C6</f>
        <v>0</v>
      </c>
      <c r="E52" s="14">
        <f>'44'!C7</f>
        <v>0</v>
      </c>
      <c r="F52" s="14">
        <f>'44'!C8</f>
        <v>0</v>
      </c>
      <c r="H52" s="13"/>
      <c r="I52" s="13"/>
      <c r="J52" s="13"/>
    </row>
    <row r="53" spans="1:10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20" t="s">
        <v>19</v>
      </c>
      <c r="E60" s="20"/>
      <c r="F60" s="10"/>
    </row>
    <row r="61" spans="1:10" x14ac:dyDescent="0.25">
      <c r="A61" s="10"/>
      <c r="B61" s="10"/>
      <c r="C61" s="10"/>
      <c r="D61" s="20" t="s">
        <v>20</v>
      </c>
      <c r="E61" s="20"/>
      <c r="F61" s="10"/>
    </row>
    <row r="62" spans="1:10" x14ac:dyDescent="0.25">
      <c r="A62" s="10"/>
      <c r="B62" s="10"/>
      <c r="C62" s="10"/>
      <c r="D62" s="20"/>
      <c r="E62" s="20"/>
      <c r="F62" s="10"/>
    </row>
    <row r="63" spans="1:10" x14ac:dyDescent="0.25">
      <c r="A63" s="10"/>
      <c r="B63" s="10"/>
      <c r="C63" s="10"/>
      <c r="D63" s="20"/>
      <c r="E63" s="20"/>
      <c r="F63" s="10"/>
    </row>
    <row r="64" spans="1:10" x14ac:dyDescent="0.25">
      <c r="A64" s="10"/>
      <c r="B64" s="10"/>
      <c r="C64" s="10"/>
      <c r="D64" s="20"/>
      <c r="E64" s="20"/>
      <c r="F64" s="10"/>
    </row>
    <row r="65" spans="1:6" x14ac:dyDescent="0.25">
      <c r="A65" s="10"/>
      <c r="B65" s="10"/>
      <c r="C65" s="10"/>
      <c r="D65" s="19" t="s">
        <v>21</v>
      </c>
      <c r="E65" s="19"/>
      <c r="F65" s="10"/>
    </row>
  </sheetData>
  <sheetProtection algorithmName="SHA-512" hashValue="8ntjDrFugIS+/n5AvM8wYtFR9UfkWHWcyd4W7ngtAMU8UfKpVv9vOKVzBLGpQsuqJ+5lB8xRuc8OId+yfB++tA==" saltValue="7UPvAsCIoqed86I871JUEw==" spinCount="100000" sheet="1" objects="1" scenarios="1"/>
  <sortState ref="B9:C45">
    <sortCondition ref="C9:C45"/>
  </sortState>
  <mergeCells count="11">
    <mergeCell ref="D65:E65"/>
    <mergeCell ref="D60:E60"/>
    <mergeCell ref="D61:E61"/>
    <mergeCell ref="D62:E62"/>
    <mergeCell ref="D63:E63"/>
    <mergeCell ref="D64:E64"/>
    <mergeCell ref="A1:F1"/>
    <mergeCell ref="A4:B4"/>
    <mergeCell ref="A5:B5"/>
    <mergeCell ref="A6:B6"/>
    <mergeCell ref="A2:F2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FAKIH MAHMUDIN</v>
      </c>
    </row>
    <row r="4" spans="1:9" x14ac:dyDescent="0.25">
      <c r="A4" s="21" t="s">
        <v>5</v>
      </c>
      <c r="B4" s="21"/>
      <c r="C4" s="4">
        <f>Sheet1!B9</f>
        <v>251001619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GHISSAN FADLIKA</v>
      </c>
    </row>
    <row r="4" spans="1:9" x14ac:dyDescent="0.25">
      <c r="A4" s="21" t="s">
        <v>5</v>
      </c>
      <c r="B4" s="21"/>
      <c r="C4" s="4">
        <f>Sheet1!B10</f>
        <v>251001620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JANWAR FAZRIAN</v>
      </c>
    </row>
    <row r="4" spans="1:9" x14ac:dyDescent="0.25">
      <c r="A4" s="21" t="s">
        <v>5</v>
      </c>
      <c r="B4" s="21"/>
      <c r="C4" s="4">
        <f>Sheet1!B11</f>
        <v>251001621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D104" sqref="D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LIVIA AFRIYANI</v>
      </c>
    </row>
    <row r="4" spans="1:9" x14ac:dyDescent="0.25">
      <c r="A4" s="21" t="s">
        <v>5</v>
      </c>
      <c r="B4" s="21"/>
      <c r="C4" s="4">
        <f>Sheet1!B12</f>
        <v>251001622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140000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140000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10000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15000</v>
      </c>
      <c r="D44" s="9"/>
      <c r="E44" s="5">
        <f t="shared" si="1"/>
        <v>35000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40000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45000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20000</v>
      </c>
      <c r="D57" s="9"/>
      <c r="E57" s="5">
        <f t="shared" si="1"/>
        <v>70000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10000</v>
      </c>
      <c r="D62" s="9"/>
      <c r="E62" s="5">
        <f t="shared" si="1"/>
        <v>80000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85000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90000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95000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10000</v>
      </c>
      <c r="D76" s="9"/>
      <c r="E76" s="5">
        <f t="shared" si="1"/>
        <v>105000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110000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115000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10000</v>
      </c>
      <c r="D92" s="9"/>
      <c r="E92" s="5">
        <f t="shared" si="3"/>
        <v>125000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130000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130000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135000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135000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135000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135000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135000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135000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5000</v>
      </c>
      <c r="D105" s="9"/>
      <c r="E105" s="5">
        <f t="shared" si="3"/>
        <v>140000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140000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140000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140000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140000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140000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140000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140000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140000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140000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140000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140000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140000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140000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140000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140000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140000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140000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140000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140000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140000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140000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140000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140000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140000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140000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140000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140000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140000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140000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140000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140000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140000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140000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140000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140000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140000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140000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140000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140000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140000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140000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140000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140000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140000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140000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140000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140000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140000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140000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140000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140000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140000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140000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140000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140000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140000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140000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140000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140000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140000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140000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140000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140000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140000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140000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140000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140000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140000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140000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140000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140000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140000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140000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140000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140000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140000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140000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140000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140000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140000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140000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140000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140000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140000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140000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140000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140000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140000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140000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140000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140000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140000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140000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140000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140000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140000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140000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140000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140000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140000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140000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140000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140000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140000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140000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140000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140000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140000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140000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140000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140000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140000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140000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140000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140000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140000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140000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140000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140000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140000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140000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140000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140000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140000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140000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140000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140000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140000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140000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140000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140000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140000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140000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140000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140000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140000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140000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140000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140000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140000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140000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140000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140000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140000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140000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140000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140000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140000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140000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140000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140000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140000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140000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140000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140000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140000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140000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140000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140000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140000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140000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140000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140000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140000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140000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140000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140000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140000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140000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140000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140000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140000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140000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140000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140000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140000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140000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140000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140000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140000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140000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140000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140000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140000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140000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140000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140000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140000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140000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140000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140000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140000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140000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140000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140000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140000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140000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140000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140000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140000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140000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140000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140000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140000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140000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140000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140000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140000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140000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140000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140000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140000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140000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140000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140000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140000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140000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140000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140000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140000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140000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140000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140000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140000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140000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140000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140000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140000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140000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140000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140000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140000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140000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140000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140000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140000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140000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140000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140000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140000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140000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140000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140000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140000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140000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140000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140000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140000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140000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140000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140000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140000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140000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140000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140000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140000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140000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140000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140000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140000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140000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140000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140000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140000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140000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140000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140000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140000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140000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140000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140000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M. FADILAH</v>
      </c>
    </row>
    <row r="4" spans="1:9" x14ac:dyDescent="0.25">
      <c r="A4" s="21" t="s">
        <v>5</v>
      </c>
      <c r="B4" s="21"/>
      <c r="C4" s="4">
        <f>Sheet1!B13</f>
        <v>251001623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66" activePane="bottomRight" state="frozen"/>
      <selection activeCell="C12" sqref="C12"/>
      <selection pane="topRight" activeCell="C12" sqref="C12"/>
      <selection pane="bottomLeft" activeCell="C12" sqref="C12"/>
      <selection pane="bottomRight" activeCell="C69" sqref="C6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M. RENDI YANSYAH</v>
      </c>
    </row>
    <row r="4" spans="1:9" x14ac:dyDescent="0.25">
      <c r="A4" s="21" t="s">
        <v>5</v>
      </c>
      <c r="B4" s="21"/>
      <c r="C4" s="4">
        <f>Sheet1!B14</f>
        <v>251001624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25000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10000</v>
      </c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25000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25000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39" activePane="bottomRight" state="frozen"/>
      <selection activeCell="C12" sqref="C12"/>
      <selection pane="topRight" activeCell="C12" sqref="C12"/>
      <selection pane="bottomLeft" activeCell="C12" sqref="C12"/>
      <selection pane="bottomRight" activeCell="D45" sqref="D4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MICHELLE MEICILIA RAMADHANI PUTRI</v>
      </c>
    </row>
    <row r="4" spans="1:9" x14ac:dyDescent="0.25">
      <c r="A4" s="21" t="s">
        <v>5</v>
      </c>
      <c r="B4" s="21"/>
      <c r="C4" s="4">
        <f>Sheet1!B15</f>
        <v>251001625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D108" sqref="D10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MOH SAYID ESA FATIH</v>
      </c>
    </row>
    <row r="4" spans="1:9" x14ac:dyDescent="0.25">
      <c r="A4" s="21" t="s">
        <v>5</v>
      </c>
      <c r="B4" s="21"/>
      <c r="C4" s="4">
        <f>Sheet1!B16</f>
        <v>251001626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26000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4000</v>
      </c>
      <c r="D64" s="9"/>
      <c r="E64" s="5">
        <f t="shared" si="1"/>
        <v>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6000</v>
      </c>
      <c r="D70" s="9"/>
      <c r="E70" s="5">
        <f t="shared" si="1"/>
        <v>12000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2000</v>
      </c>
      <c r="D71" s="9"/>
      <c r="E71" s="5">
        <f t="shared" si="1"/>
        <v>14000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16000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4000</v>
      </c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4000</v>
      </c>
      <c r="D99" s="9"/>
      <c r="E99" s="5">
        <f t="shared" si="3"/>
        <v>24000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2000</v>
      </c>
      <c r="D105" s="9"/>
      <c r="E105" s="5">
        <f t="shared" si="3"/>
        <v>26000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26000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activeCell="C95" sqref="C9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MUHAMAD AJI SAPUTRA</v>
      </c>
    </row>
    <row r="4" spans="1:9" x14ac:dyDescent="0.25">
      <c r="A4" s="21" t="s">
        <v>5</v>
      </c>
      <c r="B4" s="21"/>
      <c r="C4" s="4">
        <f>Sheet1!B17</f>
        <v>251001627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65000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65000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30000</v>
      </c>
      <c r="D44" s="9"/>
      <c r="E44" s="5">
        <f t="shared" si="1"/>
        <v>30000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10000</v>
      </c>
      <c r="D49" s="9"/>
      <c r="E49" s="5">
        <f t="shared" si="1"/>
        <v>40000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15000</v>
      </c>
      <c r="D76" s="9"/>
      <c r="E76" s="5">
        <f t="shared" si="1"/>
        <v>55000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>
        <v>10000</v>
      </c>
      <c r="D95" s="9"/>
      <c r="E95" s="5">
        <f t="shared" si="3"/>
        <v>65000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65000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65000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65000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65000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66" activePane="bottomRight" state="frozen"/>
      <selection pane="topRight" activeCell="B1" sqref="B1"/>
      <selection pane="bottomLeft" activeCell="A12" sqref="A12"/>
      <selection pane="bottomRight" activeCell="C76" sqref="C7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MUHAMAD AWALUL AJRIL</v>
      </c>
    </row>
    <row r="4" spans="1:9" x14ac:dyDescent="0.25">
      <c r="A4" s="21" t="s">
        <v>5</v>
      </c>
      <c r="B4" s="21"/>
      <c r="C4" s="4">
        <f>Sheet1!B18</f>
        <v>251001628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52000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10000</v>
      </c>
      <c r="D44" s="9"/>
      <c r="E44" s="5">
        <f t="shared" si="1"/>
        <v>17000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10000</v>
      </c>
      <c r="D49" s="9"/>
      <c r="E49" s="5">
        <f t="shared" si="1"/>
        <v>27000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10000</v>
      </c>
      <c r="D62" s="9"/>
      <c r="E62" s="5">
        <f t="shared" si="1"/>
        <v>37000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42000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10000</v>
      </c>
      <c r="D71" s="9"/>
      <c r="E71" s="5">
        <f t="shared" si="1"/>
        <v>52000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52000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MUHAMAD FAUZAN</v>
      </c>
    </row>
    <row r="4" spans="1:9" x14ac:dyDescent="0.25">
      <c r="A4" s="21" t="s">
        <v>5</v>
      </c>
      <c r="B4" s="21"/>
      <c r="C4" s="4">
        <f>Sheet1!B19</f>
        <v>251001629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180000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180000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10000</v>
      </c>
      <c r="D42" s="9"/>
      <c r="E42" s="5">
        <f t="shared" si="1"/>
        <v>10000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15000</v>
      </c>
      <c r="D44" s="9"/>
      <c r="E44" s="5">
        <f t="shared" si="1"/>
        <v>25000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10000</v>
      </c>
      <c r="D49" s="9"/>
      <c r="E49" s="5">
        <f t="shared" si="1"/>
        <v>35000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40000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10000</v>
      </c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20000</v>
      </c>
      <c r="D57" s="9"/>
      <c r="E57" s="5">
        <f t="shared" si="1"/>
        <v>70000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10000</v>
      </c>
      <c r="D62" s="9"/>
      <c r="E62" s="5">
        <f t="shared" si="1"/>
        <v>80000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90000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10000</v>
      </c>
      <c r="D69" s="9"/>
      <c r="E69" s="5">
        <f t="shared" si="1"/>
        <v>100000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10000</v>
      </c>
      <c r="D70" s="9"/>
      <c r="E70" s="5">
        <f t="shared" si="1"/>
        <v>110000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10000</v>
      </c>
      <c r="D76" s="9"/>
      <c r="E76" s="5">
        <f t="shared" si="1"/>
        <v>120000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10000</v>
      </c>
      <c r="D77" s="9"/>
      <c r="E77" s="5">
        <f t="shared" si="1"/>
        <v>130000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130000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130000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130000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130000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130000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130000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130000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130000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130000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130000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130000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130000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10000</v>
      </c>
      <c r="D90" s="9"/>
      <c r="E90" s="5">
        <f t="shared" si="3"/>
        <v>140000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145000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150000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155000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10000</v>
      </c>
      <c r="D99" s="9"/>
      <c r="E99" s="5">
        <f t="shared" si="3"/>
        <v>165000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5000</v>
      </c>
      <c r="D103" s="9"/>
      <c r="E103" s="5">
        <f t="shared" si="3"/>
        <v>170000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170000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10000</v>
      </c>
      <c r="D105" s="9"/>
      <c r="E105" s="5">
        <f t="shared" si="3"/>
        <v>180000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180000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180000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180000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180000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180000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180000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180000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180000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180000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180000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180000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180000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180000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180000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180000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180000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180000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180000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180000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180000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180000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180000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180000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180000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180000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180000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180000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180000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180000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180000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180000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180000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180000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180000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180000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180000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180000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180000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180000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180000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180000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180000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180000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180000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180000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180000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180000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180000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180000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180000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180000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180000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180000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180000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180000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180000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180000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180000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180000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180000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180000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180000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180000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180000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180000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180000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180000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180000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180000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180000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180000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180000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180000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180000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180000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180000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180000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180000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180000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180000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180000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180000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180000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180000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180000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180000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180000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180000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180000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180000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180000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180000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180000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180000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180000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180000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180000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180000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180000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180000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180000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180000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180000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180000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180000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180000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180000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180000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180000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180000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180000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180000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180000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180000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180000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180000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180000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180000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180000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180000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180000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180000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180000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180000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180000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180000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180000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180000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180000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180000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180000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180000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180000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180000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180000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180000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180000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180000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180000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180000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180000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180000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180000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180000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180000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180000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180000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180000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180000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180000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180000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180000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180000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180000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180000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180000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180000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180000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180000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180000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180000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180000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180000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180000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180000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180000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180000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180000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180000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180000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180000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180000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180000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180000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180000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180000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180000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180000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180000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180000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180000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180000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180000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180000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180000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180000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180000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180000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180000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180000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180000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180000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180000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180000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180000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180000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180000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180000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180000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180000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180000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180000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180000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180000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180000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180000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180000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180000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180000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180000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180000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180000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180000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180000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180000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180000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180000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180000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180000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180000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180000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180000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180000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180000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180000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180000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180000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180000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180000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180000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180000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180000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180000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180000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180000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180000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180000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180000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180000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180000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180000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180000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180000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180000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180000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180000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180000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180000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180000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180000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180000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180000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180000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180000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180000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180000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180000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180000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180000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180000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180000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180000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180000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180000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180000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180000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180000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180000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180000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180000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180000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MUHAMAD IKHWAN FADILLAH</v>
      </c>
    </row>
    <row r="4" spans="1:9" x14ac:dyDescent="0.25">
      <c r="A4" s="21" t="s">
        <v>5</v>
      </c>
      <c r="B4" s="21"/>
      <c r="C4" s="4">
        <f>Sheet1!B20</f>
        <v>251001630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MUHAMAD RAPPI</v>
      </c>
    </row>
    <row r="4" spans="1:9" x14ac:dyDescent="0.25">
      <c r="A4" s="21" t="s">
        <v>5</v>
      </c>
      <c r="B4" s="21"/>
      <c r="C4" s="4">
        <f>Sheet1!B21</f>
        <v>251001631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MUHAMAD SENO AJI</v>
      </c>
    </row>
    <row r="4" spans="1:9" x14ac:dyDescent="0.25">
      <c r="A4" s="21" t="s">
        <v>5</v>
      </c>
      <c r="B4" s="21"/>
      <c r="C4" s="4">
        <f>Sheet1!B22</f>
        <v>251001632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activeCell="C93" sqref="C9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MUHAMAD YUSUF ARDA BILI</v>
      </c>
    </row>
    <row r="4" spans="1:9" x14ac:dyDescent="0.25">
      <c r="A4" s="21" t="s">
        <v>5</v>
      </c>
      <c r="B4" s="21"/>
      <c r="C4" s="4">
        <f>Sheet1!B23</f>
        <v>251001633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35000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10000</v>
      </c>
      <c r="D76" s="9"/>
      <c r="E76" s="5">
        <f t="shared" si="1"/>
        <v>30000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35000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35000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MUHAMAD ZIDAN BAWAFI</v>
      </c>
    </row>
    <row r="4" spans="1:9" x14ac:dyDescent="0.25">
      <c r="A4" s="21" t="s">
        <v>5</v>
      </c>
      <c r="B4" s="21"/>
      <c r="C4" s="4">
        <f>Sheet1!B24</f>
        <v>251001634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MUHAMMAD FAHMI HIFJUDIN</v>
      </c>
    </row>
    <row r="4" spans="1:9" x14ac:dyDescent="0.25">
      <c r="A4" s="21" t="s">
        <v>5</v>
      </c>
      <c r="B4" s="21"/>
      <c r="C4" s="4">
        <f>Sheet1!B25</f>
        <v>251001635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90000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90000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10000</v>
      </c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10000</v>
      </c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10000</v>
      </c>
      <c r="D50" s="9"/>
      <c r="E50" s="5">
        <f t="shared" si="1"/>
        <v>30000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10000</v>
      </c>
      <c r="D62" s="9"/>
      <c r="E62" s="5">
        <f t="shared" si="1"/>
        <v>40000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50000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10000</v>
      </c>
      <c r="D68" s="9"/>
      <c r="E68" s="5">
        <f t="shared" si="1"/>
        <v>60000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10000</v>
      </c>
      <c r="D70" s="9"/>
      <c r="E70" s="5">
        <f t="shared" si="1"/>
        <v>70000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70000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70000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70000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70000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70000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70000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70000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70000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70000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10000</v>
      </c>
      <c r="D99" s="9"/>
      <c r="E99" s="5">
        <f t="shared" si="3"/>
        <v>80000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10000</v>
      </c>
      <c r="D104" s="9"/>
      <c r="E104" s="5">
        <f t="shared" si="3"/>
        <v>90000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90000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4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MUHAMMAD HAFIDZ SYABANI</v>
      </c>
    </row>
    <row r="4" spans="1:9" x14ac:dyDescent="0.25">
      <c r="A4" s="21" t="s">
        <v>5</v>
      </c>
      <c r="B4" s="21"/>
      <c r="C4" s="4">
        <f>Sheet1!B26</f>
        <v>251001636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10000</v>
      </c>
      <c r="D35" s="9"/>
      <c r="E35" s="5">
        <f t="shared" si="1"/>
        <v>10000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MUTIARA RAMADANI</v>
      </c>
    </row>
    <row r="4" spans="1:9" x14ac:dyDescent="0.25">
      <c r="A4" s="21" t="s">
        <v>5</v>
      </c>
      <c r="B4" s="21"/>
      <c r="C4" s="4">
        <f>Sheet1!B27</f>
        <v>251001637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60" activePane="bottomRight" state="frozen"/>
      <selection activeCell="C12" sqref="C12"/>
      <selection pane="topRight" activeCell="C12" sqref="C12"/>
      <selection pane="bottomLeft" activeCell="C12" sqref="C12"/>
      <selection pane="bottomRight" activeCell="D72" sqref="D7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NAZRIEL MOCH ADITYA</v>
      </c>
    </row>
    <row r="4" spans="1:9" x14ac:dyDescent="0.25">
      <c r="A4" s="21" t="s">
        <v>5</v>
      </c>
      <c r="B4" s="21"/>
      <c r="C4" s="4">
        <f>Sheet1!B28</f>
        <v>251001638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25000</v>
      </c>
      <c r="D64" s="9"/>
      <c r="E64" s="5">
        <f t="shared" si="1"/>
        <v>25000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25000</v>
      </c>
      <c r="D70" s="9"/>
      <c r="E70" s="5">
        <f t="shared" si="1"/>
        <v>50000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NOVRIADI TWBAGUS</v>
      </c>
    </row>
    <row r="4" spans="1:9" x14ac:dyDescent="0.25">
      <c r="A4" s="21" t="s">
        <v>5</v>
      </c>
      <c r="B4" s="21"/>
      <c r="C4" s="4">
        <f>Sheet1!B29</f>
        <v>251001639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PAHRIANSYAH</v>
      </c>
    </row>
    <row r="4" spans="1:9" x14ac:dyDescent="0.25">
      <c r="A4" s="21" t="s">
        <v>5</v>
      </c>
      <c r="B4" s="21"/>
      <c r="C4" s="4">
        <f>Sheet1!B30</f>
        <v>251001640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39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PUTRI OKTAVIANI</v>
      </c>
    </row>
    <row r="4" spans="1:9" x14ac:dyDescent="0.25">
      <c r="A4" s="21" t="s">
        <v>5</v>
      </c>
      <c r="B4" s="21"/>
      <c r="C4" s="4">
        <f>Sheet1!B31</f>
        <v>251001641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23000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10000</v>
      </c>
      <c r="D36" s="9"/>
      <c r="E36" s="5">
        <f t="shared" si="1"/>
        <v>12000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17000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6000</v>
      </c>
      <c r="D42" s="9"/>
      <c r="E42" s="5">
        <f t="shared" si="1"/>
        <v>23000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23000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>RADIT PERMANA</v>
      </c>
    </row>
    <row r="4" spans="1:9" x14ac:dyDescent="0.25">
      <c r="A4" s="21" t="s">
        <v>5</v>
      </c>
      <c r="B4" s="21"/>
      <c r="C4" s="4">
        <f>Sheet1!B32</f>
        <v>251001642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REPAN</v>
      </c>
    </row>
    <row r="4" spans="1:9" x14ac:dyDescent="0.25">
      <c r="A4" s="21" t="s">
        <v>5</v>
      </c>
      <c r="B4" s="21"/>
      <c r="C4" s="4">
        <f>Sheet1!B33</f>
        <v>251001643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96" activePane="bottomRight" state="frozen"/>
      <selection pane="topRight" activeCell="B1" sqref="B1"/>
      <selection pane="bottomLeft" activeCell="A12" sqref="A12"/>
      <selection pane="bottomRight" activeCell="C105" sqref="C10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RIKO SAPUTRA</v>
      </c>
    </row>
    <row r="4" spans="1:9" x14ac:dyDescent="0.25">
      <c r="A4" s="21" t="s">
        <v>5</v>
      </c>
      <c r="B4" s="21"/>
      <c r="C4" s="4">
        <f>Sheet1!B34</f>
        <v>251001644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500000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50000</v>
      </c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100000</v>
      </c>
      <c r="D54" s="9"/>
      <c r="E54" s="5">
        <f t="shared" si="1"/>
        <v>150000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50000</v>
      </c>
      <c r="D61" s="9"/>
      <c r="E61" s="5">
        <f t="shared" si="1"/>
        <v>200000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150000</v>
      </c>
      <c r="D99" s="9"/>
      <c r="E99" s="5">
        <f t="shared" si="3"/>
        <v>350000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150000</v>
      </c>
      <c r="D103" s="9"/>
      <c r="E103" s="5">
        <f t="shared" si="3"/>
        <v>500000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81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RIYANTI RAMADHANI</v>
      </c>
    </row>
    <row r="4" spans="1:9" x14ac:dyDescent="0.25">
      <c r="A4" s="21" t="s">
        <v>5</v>
      </c>
      <c r="B4" s="21"/>
      <c r="C4" s="4">
        <f>Sheet1!B35</f>
        <v>251001645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15000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87" activePane="bottomRight" state="frozen"/>
      <selection pane="topRight" activeCell="B1" sqref="B1"/>
      <selection pane="bottomLeft" activeCell="A12" sqref="A12"/>
      <selection pane="bottomRight" activeCell="D97" sqref="D9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SAKINAH</v>
      </c>
    </row>
    <row r="4" spans="1:9" x14ac:dyDescent="0.25">
      <c r="A4" s="21" t="s">
        <v>5</v>
      </c>
      <c r="B4" s="21"/>
      <c r="C4" s="4">
        <f>Sheet1!B36</f>
        <v>251001646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21000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6000</v>
      </c>
      <c r="D42" s="9"/>
      <c r="E42" s="5">
        <f t="shared" si="1"/>
        <v>6000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6000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6000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6000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6000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11000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10000</v>
      </c>
      <c r="D97" s="9"/>
      <c r="E97" s="5">
        <f t="shared" si="3"/>
        <v>21000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21000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Sheet1!C37</f>
        <v>SAPUTRA</v>
      </c>
    </row>
    <row r="4" spans="1:9" x14ac:dyDescent="0.25">
      <c r="A4" s="21" t="s">
        <v>5</v>
      </c>
      <c r="B4" s="21"/>
      <c r="C4" s="4">
        <f>Sheet1!B37</f>
        <v>251001647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96" activePane="bottomRight" state="frozen"/>
      <selection pane="topRight" activeCell="B1" sqref="B1"/>
      <selection pane="bottomLeft" activeCell="A12" sqref="A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Sheet1!C38</f>
        <v>SAQIF HENDARYANA</v>
      </c>
    </row>
    <row r="4" spans="1:9" x14ac:dyDescent="0.25">
      <c r="A4" s="21" t="s">
        <v>5</v>
      </c>
      <c r="B4" s="21"/>
      <c r="C4" s="4">
        <f>Sheet1!B38</f>
        <v>251001648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420000</v>
      </c>
    </row>
    <row r="7" spans="1:9" x14ac:dyDescent="0.25">
      <c r="A7" s="21" t="s">
        <v>15</v>
      </c>
      <c r="B7" s="21"/>
      <c r="C7" s="8">
        <f>SUM(D12:D376)</f>
        <v>210000</v>
      </c>
    </row>
    <row r="8" spans="1:9" x14ac:dyDescent="0.25">
      <c r="A8" s="21" t="s">
        <v>16</v>
      </c>
      <c r="B8" s="21"/>
      <c r="C8" s="8">
        <f>SUM(C6-C7)</f>
        <v>210000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100000</v>
      </c>
      <c r="D29" s="9"/>
      <c r="E29" s="5">
        <f t="shared" si="1"/>
        <v>100000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100000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100000</v>
      </c>
      <c r="D36" s="9"/>
      <c r="E36" s="5">
        <f t="shared" si="1"/>
        <v>200000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48000</v>
      </c>
      <c r="D42" s="9"/>
      <c r="E42" s="5">
        <f t="shared" si="1"/>
        <v>248000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22000</v>
      </c>
      <c r="D43" s="9"/>
      <c r="E43" s="5">
        <f t="shared" si="1"/>
        <v>270000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270000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270000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270000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270000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30000</v>
      </c>
      <c r="D48" s="9"/>
      <c r="E48" s="5">
        <f t="shared" si="1"/>
        <v>300000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10000</v>
      </c>
      <c r="D49" s="9"/>
      <c r="E49" s="5">
        <f t="shared" si="1"/>
        <v>310000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10000</v>
      </c>
      <c r="D50" s="9"/>
      <c r="E50" s="5">
        <f t="shared" si="1"/>
        <v>320000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20000</v>
      </c>
      <c r="D51" s="9"/>
      <c r="E51" s="5">
        <f t="shared" si="1"/>
        <v>340000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340000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340000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10000</v>
      </c>
      <c r="D54" s="9"/>
      <c r="E54" s="5">
        <f t="shared" si="1"/>
        <v>350000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10000</v>
      </c>
      <c r="D57" s="9"/>
      <c r="E57" s="5">
        <f t="shared" si="1"/>
        <v>360000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360000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360000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360000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360000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360000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360000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370000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370000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370000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370000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370000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370000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370000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370000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370000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370000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370000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370000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370000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370000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370000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370000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>
        <v>210000</v>
      </c>
      <c r="E80" s="5">
        <f t="shared" si="3"/>
        <v>160000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160000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160000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160000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160000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160000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160000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160000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160000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160000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160000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160000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160000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160000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160000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160000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160000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160000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160000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160000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160000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50000</v>
      </c>
      <c r="D104" s="9"/>
      <c r="E104" s="5">
        <f t="shared" si="3"/>
        <v>210000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210000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48" activePane="bottomRight" state="frozen"/>
      <selection pane="topRight" activeCell="B1" sqref="B1"/>
      <selection pane="bottomLeft" activeCell="A12" sqref="A12"/>
      <selection pane="bottomRight" activeCell="D60" sqref="D6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Sheet1!C39</f>
        <v>SENDI FIRMANSAH</v>
      </c>
    </row>
    <row r="4" spans="1:9" x14ac:dyDescent="0.25">
      <c r="A4" s="21" t="s">
        <v>5</v>
      </c>
      <c r="B4" s="21"/>
      <c r="C4" s="4">
        <f>Sheet1!B39</f>
        <v>251001649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10000</v>
      </c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63" activePane="bottomRight" state="frozen"/>
      <selection pane="topRight" activeCell="B1" sqref="B1"/>
      <selection pane="bottomLeft" activeCell="A12" sqref="A12"/>
      <selection pane="bottomRight" activeCell="D72" sqref="D7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Sheet1!C40</f>
        <v>SHIFA AULIA</v>
      </c>
    </row>
    <row r="4" spans="1:9" x14ac:dyDescent="0.25">
      <c r="A4" s="21" t="s">
        <v>5</v>
      </c>
      <c r="B4" s="21"/>
      <c r="C4" s="4">
        <f>Sheet1!B40</f>
        <v>251001650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7000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Sheet1!C41</f>
        <v>SILVANA WULANDARI</v>
      </c>
    </row>
    <row r="4" spans="1:9" x14ac:dyDescent="0.25">
      <c r="A4" s="21" t="s">
        <v>5</v>
      </c>
      <c r="B4" s="21"/>
      <c r="C4" s="4">
        <f>Sheet1!B41</f>
        <v>251001651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39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Sheet1!C42</f>
        <v>SITI FIRDASARI AWAFA</v>
      </c>
    </row>
    <row r="4" spans="1:9" x14ac:dyDescent="0.25">
      <c r="A4" s="21" t="s">
        <v>5</v>
      </c>
      <c r="B4" s="21"/>
      <c r="C4" s="4">
        <f>Sheet1!B42</f>
        <v>251001652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10000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15000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84" activePane="bottomRight" state="frozen"/>
      <selection pane="topRight" activeCell="B1" sqref="B1"/>
      <selection pane="bottomLeft" activeCell="A12" sqref="A12"/>
      <selection pane="bottomRight" activeCell="C92" sqref="C9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Sheet1!C43</f>
        <v>SITI NAZWATUL FIKA</v>
      </c>
    </row>
    <row r="4" spans="1:9" x14ac:dyDescent="0.25">
      <c r="A4" s="21" t="s">
        <v>5</v>
      </c>
      <c r="B4" s="21"/>
      <c r="C4" s="4">
        <f>Sheet1!B43</f>
        <v>251001653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57" activePane="bottomRight" state="frozen"/>
      <selection pane="topRight" activeCell="B1" sqref="B1"/>
      <selection pane="bottomLeft" activeCell="A12" sqref="A12"/>
      <selection pane="bottomRight" activeCell="D69" sqref="D6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Sheet1!C44</f>
        <v>SULTAN EKA BUDJANA</v>
      </c>
    </row>
    <row r="4" spans="1:9" x14ac:dyDescent="0.25">
      <c r="A4" s="21" t="s">
        <v>5</v>
      </c>
      <c r="B4" s="21"/>
      <c r="C4" s="4">
        <f>Sheet1!B44</f>
        <v>251001654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55000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>
        <v>10000</v>
      </c>
      <c r="D18" s="9"/>
      <c r="E18" s="5">
        <f t="shared" si="1"/>
        <v>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>
        <v>20000</v>
      </c>
      <c r="D19" s="9"/>
      <c r="E19" s="5">
        <f t="shared" si="1"/>
        <v>30000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20000</v>
      </c>
      <c r="D20" s="9"/>
      <c r="E20" s="5">
        <f t="shared" si="1"/>
        <v>50000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55000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55000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33" activePane="bottomRight" state="frozen"/>
      <selection pane="topRight" activeCell="B1" sqref="B1"/>
      <selection pane="bottomLeft" activeCell="A12" sqref="A12"/>
      <selection pane="bottomRight" activeCell="C45" sqref="C4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Sheet1!C45</f>
        <v>M. REHAN TIANSYAH</v>
      </c>
    </row>
    <row r="4" spans="1:9" x14ac:dyDescent="0.25">
      <c r="A4" s="21" t="s">
        <v>5</v>
      </c>
      <c r="B4" s="21"/>
      <c r="C4" s="4">
        <f>Sheet1!B45</f>
        <v>37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10000</v>
      </c>
      <c r="D42" s="9"/>
      <c r="E42" s="5">
        <f t="shared" si="1"/>
        <v>10000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10000</v>
      </c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Sheet1!C46</f>
        <v>38</v>
      </c>
    </row>
    <row r="4" spans="1:9" x14ac:dyDescent="0.25">
      <c r="A4" s="21" t="s">
        <v>5</v>
      </c>
      <c r="B4" s="21"/>
      <c r="C4" s="4">
        <f>Sheet1!B46</f>
        <v>38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Sheet1!C47</f>
        <v>39</v>
      </c>
    </row>
    <row r="4" spans="1:9" x14ac:dyDescent="0.25">
      <c r="A4" s="21" t="s">
        <v>5</v>
      </c>
      <c r="B4" s="21"/>
      <c r="C4" s="4">
        <f>Sheet1!B47</f>
        <v>39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Sheet1!C48</f>
        <v>40</v>
      </c>
    </row>
    <row r="4" spans="1:9" x14ac:dyDescent="0.25">
      <c r="A4" s="21" t="s">
        <v>5</v>
      </c>
      <c r="B4" s="21"/>
      <c r="C4" s="4">
        <f>Sheet1!B48</f>
        <v>40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0Fu/txj+iP9vL0cxk4iNNLfBQX08MCCdkKBa1XW9l/1Bw4XYYX8jGvx0b8mm+sysQyjFYLUcprVGjGE+FH7qjA==" saltValue="pkiIOnucnfGpu8bD49LSn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Sheet1!C49</f>
        <v>41</v>
      </c>
    </row>
    <row r="4" spans="1:9" x14ac:dyDescent="0.25">
      <c r="A4" s="21" t="s">
        <v>5</v>
      </c>
      <c r="B4" s="21"/>
      <c r="C4" s="4">
        <f>Sheet1!B49</f>
        <v>41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dfMV5nuZhjx1N8z4KQZyK0BHIbfU6P5PAGEm+V7QzWr9nL6u17JySB6LzTJMBsriYF/NQlg4zybqtjGuAsBGg==" saltValue="hWRfcVkBtnWxw+9lPKIx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Sheet1!C50</f>
        <v>42</v>
      </c>
    </row>
    <row r="4" spans="1:9" x14ac:dyDescent="0.25">
      <c r="A4" s="21" t="s">
        <v>5</v>
      </c>
      <c r="B4" s="21"/>
      <c r="C4" s="4">
        <f>Sheet1!B50</f>
        <v>42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8" sqref="C1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Sheet1!C51</f>
        <v>43</v>
      </c>
    </row>
    <row r="4" spans="1:9" x14ac:dyDescent="0.25">
      <c r="A4" s="21" t="s">
        <v>5</v>
      </c>
      <c r="B4" s="21"/>
      <c r="C4" s="4">
        <f>Sheet1!B51</f>
        <v>43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Sheet1!C52</f>
        <v>44</v>
      </c>
    </row>
    <row r="4" spans="1:9" x14ac:dyDescent="0.25">
      <c r="A4" s="21" t="s">
        <v>5</v>
      </c>
      <c r="B4" s="21"/>
      <c r="C4" s="4">
        <f>Sheet1!B52</f>
        <v>44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2025-05-30T06:13:15Z</cp:lastPrinted>
  <dcterms:created xsi:type="dcterms:W3CDTF">2025-05-29T06:07:24Z</dcterms:created>
  <dcterms:modified xsi:type="dcterms:W3CDTF">2025-10-15T02:01:20Z</dcterms:modified>
</cp:coreProperties>
</file>