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0" yWindow="0" windowWidth="21600" windowHeight="916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1" l="1"/>
  <c r="F56" i="1"/>
  <c r="F57" i="1"/>
  <c r="F55" i="1"/>
  <c r="F54" i="1"/>
  <c r="F53" i="1"/>
  <c r="F52" i="1"/>
  <c r="F51" i="1"/>
  <c r="F50" i="1"/>
  <c r="F49" i="1"/>
  <c r="F48" i="1"/>
  <c r="F47" i="1"/>
  <c r="F46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5" i="1"/>
  <c r="E34" i="1"/>
  <c r="E33" i="1"/>
  <c r="E32" i="1"/>
  <c r="E30" i="1"/>
  <c r="E29" i="1"/>
  <c r="E27" i="1"/>
  <c r="E25" i="1"/>
  <c r="E23" i="1"/>
  <c r="E20" i="1"/>
  <c r="E19" i="1"/>
  <c r="E18" i="1"/>
  <c r="E17" i="1"/>
  <c r="E16" i="1"/>
  <c r="E15" i="1"/>
  <c r="E14" i="1"/>
  <c r="E13" i="1"/>
  <c r="E12" i="1"/>
  <c r="E11" i="1"/>
  <c r="E10" i="1"/>
  <c r="D57" i="1"/>
  <c r="D56" i="1"/>
  <c r="D55" i="1"/>
  <c r="D54" i="1"/>
  <c r="D53" i="1"/>
  <c r="D52" i="1"/>
  <c r="D51" i="1"/>
  <c r="D50" i="1"/>
  <c r="D49" i="1"/>
  <c r="D48" i="1"/>
  <c r="D47" i="1"/>
  <c r="D46" i="1"/>
  <c r="D13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A17" i="57"/>
  <c r="A16" i="57"/>
  <c r="A15" i="57"/>
  <c r="A14" i="57"/>
  <c r="A13" i="57"/>
  <c r="E12" i="57"/>
  <c r="E13" i="57" s="1"/>
  <c r="E14" i="57" s="1"/>
  <c r="E15" i="57" s="1"/>
  <c r="E16" i="57" s="1"/>
  <c r="E17" i="57" s="1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E59" i="57" s="1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12" i="57"/>
  <c r="C7" i="57"/>
  <c r="E22" i="1" s="1"/>
  <c r="C6" i="57"/>
  <c r="D22" i="1" s="1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E16" i="56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6" i="56"/>
  <c r="A15" i="56"/>
  <c r="E14" i="56"/>
  <c r="E15" i="56" s="1"/>
  <c r="A14" i="56"/>
  <c r="A13" i="56"/>
  <c r="E12" i="56"/>
  <c r="E13" i="56" s="1"/>
  <c r="A12" i="56"/>
  <c r="C7" i="56"/>
  <c r="E21" i="1" s="1"/>
  <c r="C6" i="56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A16" i="55"/>
  <c r="A15" i="55"/>
  <c r="A14" i="55"/>
  <c r="A13" i="55"/>
  <c r="E12" i="55"/>
  <c r="E13" i="55" s="1"/>
  <c r="E14" i="55" s="1"/>
  <c r="E15" i="55" s="1"/>
  <c r="E16" i="55" s="1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12" i="55"/>
  <c r="C7" i="55"/>
  <c r="C6" i="55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E13" i="54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3" i="54"/>
  <c r="E12" i="54"/>
  <c r="A12" i="54"/>
  <c r="C8" i="54"/>
  <c r="F19" i="1" s="1"/>
  <c r="C7" i="54"/>
  <c r="C6" i="54"/>
  <c r="D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E20" i="52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20" i="52"/>
  <c r="A19" i="52"/>
  <c r="E18" i="52"/>
  <c r="E19" i="52" s="1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A12" i="52"/>
  <c r="C7" i="52"/>
  <c r="C6" i="52"/>
  <c r="C8" i="52" s="1"/>
  <c r="F17" i="1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A21" i="51"/>
  <c r="A20" i="51"/>
  <c r="A19" i="51"/>
  <c r="A18" i="51"/>
  <c r="A17" i="51"/>
  <c r="A16" i="51"/>
  <c r="A15" i="51"/>
  <c r="A14" i="51"/>
  <c r="A13" i="51"/>
  <c r="E12" i="51"/>
  <c r="E13" i="51" s="1"/>
  <c r="E14" i="51" s="1"/>
  <c r="E15" i="51" s="1"/>
  <c r="E16" i="51" s="1"/>
  <c r="E17" i="51" s="1"/>
  <c r="E18" i="51" s="1"/>
  <c r="E19" i="51" s="1"/>
  <c r="E20" i="51" s="1"/>
  <c r="E21" i="51" s="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12" i="51"/>
  <c r="C7" i="51"/>
  <c r="C6" i="51"/>
  <c r="D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E12" i="50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A13" i="49"/>
  <c r="E12" i="49"/>
  <c r="E13" i="49" s="1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2" i="49"/>
  <c r="C7" i="49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2" i="47"/>
  <c r="C7" i="47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E12" i="45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2" i="45"/>
  <c r="C7" i="45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A15" i="44"/>
  <c r="A14" i="44"/>
  <c r="E13" i="44"/>
  <c r="E14" i="44" s="1"/>
  <c r="E15" i="44" s="1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3" i="44"/>
  <c r="E12" i="44"/>
  <c r="A12" i="44"/>
  <c r="C7" i="44"/>
  <c r="C6" i="44"/>
  <c r="D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A17" i="43"/>
  <c r="A16" i="43"/>
  <c r="A15" i="43"/>
  <c r="A14" i="43"/>
  <c r="A13" i="43"/>
  <c r="E12" i="43"/>
  <c r="E13" i="43" s="1"/>
  <c r="E14" i="43" s="1"/>
  <c r="E15" i="43" s="1"/>
  <c r="E16" i="43" s="1"/>
  <c r="E17" i="43" s="1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E41" i="43" s="1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12" i="43"/>
  <c r="C7" i="43"/>
  <c r="E31" i="1" s="1"/>
  <c r="C6" i="43"/>
  <c r="D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F30" i="1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C6" i="41"/>
  <c r="D29" i="1" s="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A22" i="40"/>
  <c r="A21" i="40"/>
  <c r="A20" i="40"/>
  <c r="A19" i="40"/>
  <c r="A18" i="40"/>
  <c r="A17" i="40"/>
  <c r="A16" i="40"/>
  <c r="A15" i="40"/>
  <c r="A14" i="40"/>
  <c r="A13" i="40"/>
  <c r="E12" i="40"/>
  <c r="E13" i="40" s="1"/>
  <c r="E14" i="40" s="1"/>
  <c r="E15" i="40" s="1"/>
  <c r="E16" i="40" s="1"/>
  <c r="E17" i="40" s="1"/>
  <c r="E18" i="40" s="1"/>
  <c r="E19" i="40" s="1"/>
  <c r="E20" i="40" s="1"/>
  <c r="E21" i="40" s="1"/>
  <c r="E22" i="40" s="1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12" i="40"/>
  <c r="C7" i="40"/>
  <c r="E28" i="1" s="1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E12" i="39"/>
  <c r="E13" i="39" s="1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2" i="39"/>
  <c r="C7" i="39"/>
  <c r="C6" i="39"/>
  <c r="D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A14" i="38"/>
  <c r="A13" i="38"/>
  <c r="E12" i="38"/>
  <c r="E13" i="38" s="1"/>
  <c r="E14" i="38" s="1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2" i="38"/>
  <c r="C7" i="38"/>
  <c r="E26" i="1" s="1"/>
  <c r="C6" i="38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E24" i="1" s="1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E12" i="35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2" i="35"/>
  <c r="C7" i="35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E12" i="34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12" i="34"/>
  <c r="C7" i="34"/>
  <c r="C6" i="34"/>
  <c r="D42" i="1" s="1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E12" i="33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2" i="33"/>
  <c r="C7" i="33"/>
  <c r="C6" i="33"/>
  <c r="D41" i="1" s="1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E14" i="32"/>
  <c r="E15" i="32" s="1"/>
  <c r="E16" i="32" s="1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4" i="32"/>
  <c r="A13" i="32"/>
  <c r="E12" i="32"/>
  <c r="E13" i="32" s="1"/>
  <c r="A12" i="32"/>
  <c r="C7" i="32"/>
  <c r="C6" i="32"/>
  <c r="C8" i="32" s="1"/>
  <c r="F40" i="1" s="1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E12" i="3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2" i="31"/>
  <c r="C7" i="31"/>
  <c r="C6" i="31"/>
  <c r="C8" i="31" s="1"/>
  <c r="F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E12" i="30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12" i="30"/>
  <c r="C7" i="30"/>
  <c r="E38" i="1" s="1"/>
  <c r="C6" i="30"/>
  <c r="D38" i="1" s="1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A18" i="29"/>
  <c r="A17" i="29"/>
  <c r="A16" i="29"/>
  <c r="A15" i="29"/>
  <c r="A14" i="29"/>
  <c r="A13" i="29"/>
  <c r="E12" i="29"/>
  <c r="E13" i="29" s="1"/>
  <c r="E14" i="29" s="1"/>
  <c r="E15" i="29" s="1"/>
  <c r="E16" i="29" s="1"/>
  <c r="E17" i="29" s="1"/>
  <c r="E18" i="29" s="1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2" i="29"/>
  <c r="C7" i="29"/>
  <c r="C6" i="29"/>
  <c r="C8" i="29" s="1"/>
  <c r="F37" i="1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E12" i="28"/>
  <c r="E13" i="28" s="1"/>
  <c r="E14" i="28" s="1"/>
  <c r="E15" i="28" s="1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2" i="28"/>
  <c r="C7" i="28"/>
  <c r="E36" i="1" s="1"/>
  <c r="C6" i="28"/>
  <c r="C8" i="28" s="1"/>
  <c r="F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E18" i="27"/>
  <c r="E19" i="27" s="1"/>
  <c r="E20" i="27" s="1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E13" i="26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3" i="26"/>
  <c r="E12" i="26"/>
  <c r="A12" i="26"/>
  <c r="C8" i="26"/>
  <c r="F34" i="1" s="1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F33" i="1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E365" i="22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A13" i="22"/>
  <c r="E12" i="22"/>
  <c r="A12" i="22"/>
  <c r="C8" i="22"/>
  <c r="C7" i="22"/>
  <c r="C6" i="22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E15" i="2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5" i="21"/>
  <c r="A14" i="21"/>
  <c r="E13" i="21"/>
  <c r="E14" i="21" s="1"/>
  <c r="A13" i="21"/>
  <c r="E12" i="21"/>
  <c r="A12" i="21"/>
  <c r="C8" i="21"/>
  <c r="C7" i="21"/>
  <c r="C6" i="2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E24" i="19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24" i="19"/>
  <c r="A23" i="19"/>
  <c r="A22" i="19"/>
  <c r="A21" i="19"/>
  <c r="A20" i="19"/>
  <c r="A19" i="19"/>
  <c r="E18" i="19"/>
  <c r="E19" i="19" s="1"/>
  <c r="E20" i="19" s="1"/>
  <c r="E21" i="19" s="1"/>
  <c r="E22" i="19" s="1"/>
  <c r="E23" i="19" s="1"/>
  <c r="A18" i="19"/>
  <c r="A17" i="19"/>
  <c r="E16" i="19"/>
  <c r="E17" i="19" s="1"/>
  <c r="A16" i="19"/>
  <c r="A15" i="19"/>
  <c r="E14" i="19"/>
  <c r="E15" i="19" s="1"/>
  <c r="A14" i="19"/>
  <c r="A13" i="19"/>
  <c r="E12" i="19"/>
  <c r="E13" i="19" s="1"/>
  <c r="A12" i="19"/>
  <c r="C7" i="19"/>
  <c r="C6" i="19"/>
  <c r="C8" i="19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E15" i="18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5" i="18"/>
  <c r="A14" i="18"/>
  <c r="E13" i="18"/>
  <c r="E14" i="18" s="1"/>
  <c r="A13" i="18"/>
  <c r="E12" i="18"/>
  <c r="A12" i="18"/>
  <c r="C8" i="18"/>
  <c r="C7" i="18"/>
  <c r="C6" i="18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E12" i="16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2" i="16"/>
  <c r="C7" i="16"/>
  <c r="C6" i="16"/>
  <c r="D45" i="1" s="1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F44" i="1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E12" i="14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2" i="14"/>
  <c r="C7" i="14"/>
  <c r="C6" i="14"/>
  <c r="D43" i="1" s="1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38" l="1"/>
  <c r="F26" i="1" s="1"/>
  <c r="C8" i="56"/>
  <c r="F21" i="1" s="1"/>
  <c r="C8" i="55"/>
  <c r="F20" i="1" s="1"/>
  <c r="D33" i="1"/>
  <c r="C8" i="47"/>
  <c r="F12" i="1" s="1"/>
  <c r="D40" i="1"/>
  <c r="D44" i="1"/>
  <c r="C8" i="44"/>
  <c r="F32" i="1" s="1"/>
  <c r="D26" i="1"/>
  <c r="C8" i="57"/>
  <c r="F22" i="1" s="1"/>
  <c r="C8" i="51"/>
  <c r="F16" i="1" s="1"/>
  <c r="D11" i="1"/>
  <c r="D30" i="1"/>
  <c r="D39" i="1"/>
  <c r="D17" i="1"/>
  <c r="C8" i="30"/>
  <c r="F38" i="1" s="1"/>
  <c r="D37" i="1"/>
  <c r="C8" i="43"/>
  <c r="F31" i="1" s="1"/>
  <c r="D35" i="1"/>
  <c r="D15" i="1"/>
  <c r="D36" i="1"/>
  <c r="C8" i="45"/>
  <c r="F10" i="1" s="1"/>
  <c r="C8" i="16"/>
  <c r="F45" i="1" s="1"/>
  <c r="C8" i="33"/>
  <c r="F41" i="1" s="1"/>
  <c r="C8" i="37"/>
  <c r="F25" i="1" s="1"/>
  <c r="D20" i="1"/>
  <c r="C8" i="35"/>
  <c r="F23" i="1" s="1"/>
  <c r="D21" i="1"/>
  <c r="C8" i="39"/>
  <c r="F27" i="1" s="1"/>
  <c r="D24" i="1"/>
  <c r="C8" i="14"/>
  <c r="F43" i="1" s="1"/>
  <c r="C8" i="49"/>
  <c r="F14" i="1" s="1"/>
  <c r="C8" i="53"/>
  <c r="F18" i="1" s="1"/>
  <c r="C8" i="40"/>
  <c r="F28" i="1" s="1"/>
  <c r="C8" i="41"/>
  <c r="F29" i="1" s="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<sst xmlns="http://schemas.openxmlformats.org/spreadsheetml/2006/main" count="653" uniqueCount="60">
  <si>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</si>
  <si>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</si>
  <si>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</si>
  <si>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</si>
  <si>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</si>
  <si>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</si>
  <si>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</si>
  <si>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</si>
  <si>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</si>
  <si>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</si>
  <si>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</si>
  <si>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</si>
  <si>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</si>
  <si>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</si>
  <si>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</si>
  <si>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</si>
  <si>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</si>
  <si>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</si>
  <si>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</si>
  <si>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AENA NUR BAENI</t>
  </si>
  <si>
    <t>AENI NURBAYANI</t>
  </si>
  <si>
    <t>ALYA RAMADHANI</t>
  </si>
  <si>
    <t>ARIFFAH FARLY</t>
  </si>
  <si>
    <t>DAVINA</t>
  </si>
  <si>
    <t>DELA LESTARI</t>
  </si>
  <si>
    <t>DIMAS ERLANGGA</t>
  </si>
  <si>
    <t>DINI ANJANI NUR AENI</t>
  </si>
  <si>
    <t>FITRYA</t>
  </si>
  <si>
    <t>HALIMATUSSADIAH</t>
  </si>
  <si>
    <t>IKSAN NUGRAHA</t>
  </si>
  <si>
    <t>JULIA</t>
  </si>
  <si>
    <t>KANANTI MAHARDINI</t>
  </si>
  <si>
    <t>MEYLANI SRI RAHAYU</t>
  </si>
  <si>
    <t>MORENO RAFAEL RADITYA NANDA</t>
  </si>
  <si>
    <t>MUHAMAD ABYANSAH</t>
  </si>
  <si>
    <t>MUHAMAD RASYA</t>
  </si>
  <si>
    <t>MUHAMAD TIRTA YASA</t>
  </si>
  <si>
    <t>MUTIA SULISTIAWATI</t>
  </si>
  <si>
    <t>NABILA SAKIB</t>
  </si>
  <si>
    <t>NANDA ASSIFA</t>
  </si>
  <si>
    <t>PUTRI ANISA</t>
  </si>
  <si>
    <t>QAIS NUR SYAHRANI</t>
  </si>
  <si>
    <t>RIKA AJENG OKTAPIA</t>
  </si>
  <si>
    <t>RIKI BAYU KRISTI</t>
  </si>
  <si>
    <t>RIZKI RIPATULLOH</t>
  </si>
  <si>
    <t>SALSA NABILA NUR FITRIA</t>
  </si>
  <si>
    <t>SHYSIL HERLYA RAMADHANI</t>
  </si>
  <si>
    <t>SIFA ANINDIA</t>
  </si>
  <si>
    <t>SITI HANNA MUZVIROH</t>
  </si>
  <si>
    <t>SITI MAULIDA KARATUA</t>
  </si>
  <si>
    <t>SITI MUFLIHAH OKTAVIANI</t>
  </si>
  <si>
    <t>SITI NUR PADILAH</t>
  </si>
  <si>
    <t>ULIS</t>
  </si>
  <si>
    <t>XENA AULYA CANTYKA RAMADANY</t>
  </si>
  <si>
    <t>YUNI RAHMAWATI</t>
  </si>
  <si>
    <t>XII - OTKP 1</t>
  </si>
  <si>
    <t>M. IRWAN RUHIANSYAH</t>
  </si>
  <si>
    <t>Dramaga, …......................2026</t>
  </si>
  <si>
    <t>Pengelola Tabungan</t>
  </si>
  <si>
    <t>SARI MAYA, S.Pd.,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</si>
</sst>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21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7" t="s">
        <v>0</v>
      </c>
      <c r="B1" s="17"/>
      <c r="C1" s="17"/>
      <c r="D1" s="17"/>
      <c r="E1" s="17"/>
      <c r="F1" s="17"/>
    </row>
    <row r="2" spans="1:10" ht="18.75" x14ac:dyDescent="0.25">
      <c r="A2" s="17" t="s">
        <v>11</v>
      </c>
      <c r="B2" s="17"/>
      <c r="C2" s="17"/>
      <c r="D2" s="17"/>
      <c r="E2" s="17"/>
      <c r="F2" s="17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18" t="s">
        <v>1</v>
      </c>
      <c r="B4" s="18"/>
      <c r="C4" s="15" t="s">
        <v>55</v>
      </c>
      <c r="D4" s="10"/>
      <c r="E4" s="10"/>
      <c r="F4" s="10"/>
    </row>
    <row r="5" spans="1:10" x14ac:dyDescent="0.25">
      <c r="A5" s="18" t="s">
        <v>2</v>
      </c>
      <c r="B5" s="18"/>
      <c r="C5" s="15" t="s">
        <v>10</v>
      </c>
      <c r="D5" s="10"/>
      <c r="E5" s="10"/>
      <c r="F5" s="10"/>
    </row>
    <row r="6" spans="1:10" x14ac:dyDescent="0.25">
      <c r="A6" s="18" t="s">
        <v>3</v>
      </c>
      <c r="B6" s="18"/>
      <c r="C6" s="16">
        <f>SUM(F9:F58)</f>
        <v>3219000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231001284</v>
      </c>
      <c r="C9" s="12" t="s">
        <v>19</v>
      </c>
      <c r="D9" s="14">
        <f>'1'!C6</f>
        <v>43000</v>
      </c>
      <c r="E9" s="14">
        <f>'1'!C7</f>
        <v>0</v>
      </c>
      <c r="F9" s="14">
        <f>'1'!C8</f>
        <v>43000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231001285</v>
      </c>
      <c r="C10" s="12" t="s">
        <v>20</v>
      </c>
      <c r="D10" s="14">
        <f>'2'!C6</f>
        <v>43000</v>
      </c>
      <c r="E10" s="14">
        <f>'2'!C7</f>
        <v>0</v>
      </c>
      <c r="F10" s="14">
        <f>'2'!C8</f>
        <v>43000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231001286</v>
      </c>
      <c r="C11" s="12" t="s">
        <v>21</v>
      </c>
      <c r="D11" s="14">
        <f>'3'!C6</f>
        <v>80000</v>
      </c>
      <c r="E11" s="14">
        <f>'3'!C7</f>
        <v>0</v>
      </c>
      <c r="F11" s="14">
        <f>'3'!C8</f>
        <v>80000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231001287</v>
      </c>
      <c r="C12" s="12" t="s">
        <v>22</v>
      </c>
      <c r="D12" s="14">
        <f>'4'!C6</f>
        <v>48000</v>
      </c>
      <c r="E12" s="14">
        <f>'4'!C7</f>
        <v>0</v>
      </c>
      <c r="F12" s="14">
        <f>'4'!C8</f>
        <v>48000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231001288</v>
      </c>
      <c r="C13" s="12" t="s">
        <v>23</v>
      </c>
      <c r="D13" s="14">
        <f>'5'!C6</f>
        <v>31000</v>
      </c>
      <c r="E13" s="14">
        <f>'5'!C7</f>
        <v>0</v>
      </c>
      <c r="F13" s="14">
        <f>'5'!C8</f>
        <v>31000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231001289</v>
      </c>
      <c r="C14" s="12" t="s">
        <v>24</v>
      </c>
      <c r="D14" s="14">
        <f>'6'!C6</f>
        <v>85000</v>
      </c>
      <c r="E14" s="14">
        <f>'6'!C7</f>
        <v>0</v>
      </c>
      <c r="F14" s="14">
        <f>'6'!C8</f>
        <v>85000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231001290</v>
      </c>
      <c r="C15" s="12" t="s">
        <v>25</v>
      </c>
      <c r="D15" s="14">
        <f>'7'!C6</f>
        <v>84000</v>
      </c>
      <c r="E15" s="14">
        <f>'7'!C7</f>
        <v>0</v>
      </c>
      <c r="F15" s="14">
        <f>'7'!C8</f>
        <v>84000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231001291</v>
      </c>
      <c r="C16" s="12" t="s">
        <v>26</v>
      </c>
      <c r="D16" s="14">
        <f>'8'!C6</f>
        <v>38000</v>
      </c>
      <c r="E16" s="14">
        <f>'8'!C7</f>
        <v>0</v>
      </c>
      <c r="F16" s="14">
        <f>'8'!C8</f>
        <v>38000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231001292</v>
      </c>
      <c r="C17" s="12" t="s">
        <v>27</v>
      </c>
      <c r="D17" s="14">
        <f>'9'!C6</f>
        <v>109000</v>
      </c>
      <c r="E17" s="14">
        <f>'9'!C7</f>
        <v>0</v>
      </c>
      <c r="F17" s="14">
        <f>'9'!C8</f>
        <v>109000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231001293</v>
      </c>
      <c r="C18" s="12" t="s">
        <v>28</v>
      </c>
      <c r="D18" s="14">
        <f>'10'!C6</f>
        <v>132000</v>
      </c>
      <c r="E18" s="14">
        <f>'10'!C7</f>
        <v>0</v>
      </c>
      <c r="F18" s="14">
        <f>'10'!C8</f>
        <v>132000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231001294</v>
      </c>
      <c r="C19" s="12" t="s">
        <v>29</v>
      </c>
      <c r="D19" s="14">
        <f>'11'!C6</f>
        <v>18000</v>
      </c>
      <c r="E19" s="14">
        <f>'11'!C7</f>
        <v>0</v>
      </c>
      <c r="F19" s="14">
        <f>'11'!C8</f>
        <v>18000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231001295</v>
      </c>
      <c r="C20" s="12" t="s">
        <v>30</v>
      </c>
      <c r="D20" s="14">
        <f>'12'!C6</f>
        <v>100000</v>
      </c>
      <c r="E20" s="14">
        <f>'12'!C7</f>
        <v>100000</v>
      </c>
      <c r="F20" s="14">
        <f>'12'!C8</f>
        <v>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231001296</v>
      </c>
      <c r="C21" s="12" t="s">
        <v>31</v>
      </c>
      <c r="D21" s="14">
        <f>'13'!C6</f>
        <v>64000</v>
      </c>
      <c r="E21" s="14">
        <f>'13'!C7</f>
        <v>50000</v>
      </c>
      <c r="F21" s="14">
        <f>'13'!C8</f>
        <v>14000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231001299</v>
      </c>
      <c r="C22" s="12" t="s">
        <v>56</v>
      </c>
      <c r="D22" s="14">
        <f>'14'!C6</f>
        <v>150000</v>
      </c>
      <c r="E22" s="14">
        <f>'14'!C7</f>
        <v>15000</v>
      </c>
      <c r="F22" s="14">
        <f>'14'!C8</f>
        <v>135000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231001297</v>
      </c>
      <c r="C23" s="12" t="s">
        <v>32</v>
      </c>
      <c r="D23" s="14">
        <f>'15'!C6</f>
        <v>100000</v>
      </c>
      <c r="E23" s="14">
        <f>'15'!C7</f>
        <v>0</v>
      </c>
      <c r="F23" s="14">
        <f>'15'!C8</f>
        <v>100000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231001298</v>
      </c>
      <c r="C24" s="12" t="s">
        <v>33</v>
      </c>
      <c r="D24" s="14">
        <f>'16'!C6</f>
        <v>305000</v>
      </c>
      <c r="E24" s="14">
        <f>'16'!C7</f>
        <v>0</v>
      </c>
      <c r="F24" s="14">
        <f>'16'!C8</f>
        <v>305000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231001408</v>
      </c>
      <c r="C25" s="12" t="s">
        <v>34</v>
      </c>
      <c r="D25" s="14">
        <f>'17'!C6</f>
        <v>80000</v>
      </c>
      <c r="E25" s="14">
        <f>'17'!C7</f>
        <v>0</v>
      </c>
      <c r="F25" s="14">
        <f>'17'!C8</f>
        <v>80000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231001413</v>
      </c>
      <c r="C26" s="12" t="s">
        <v>35</v>
      </c>
      <c r="D26" s="14">
        <f>'18'!C6</f>
        <v>66000</v>
      </c>
      <c r="E26" s="14">
        <f>'18'!C7</f>
        <v>50000</v>
      </c>
      <c r="F26" s="14">
        <f>'18'!C8</f>
        <v>16000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231001301</v>
      </c>
      <c r="C27" s="12" t="s">
        <v>36</v>
      </c>
      <c r="D27" s="14">
        <f>'19'!C6</f>
        <v>57000</v>
      </c>
      <c r="E27" s="14">
        <f>'19'!C7</f>
        <v>0</v>
      </c>
      <c r="F27" s="14">
        <f>'19'!C8</f>
        <v>57000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231001303</v>
      </c>
      <c r="C28" s="12" t="s">
        <v>37</v>
      </c>
      <c r="D28" s="14">
        <f>'20'!C6</f>
        <v>205000</v>
      </c>
      <c r="E28" s="14">
        <f>'20'!C7</f>
        <v>0</v>
      </c>
      <c r="F28" s="14">
        <f>'20'!C8</f>
        <v>205000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231001304</v>
      </c>
      <c r="C29" s="12" t="s">
        <v>38</v>
      </c>
      <c r="D29" s="14">
        <f>'21'!C6</f>
        <v>67000</v>
      </c>
      <c r="E29" s="14">
        <f>'21'!C7</f>
        <v>0</v>
      </c>
      <c r="F29" s="14">
        <f>'21'!C8</f>
        <v>67000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231001305</v>
      </c>
      <c r="C30" s="12" t="s">
        <v>39</v>
      </c>
      <c r="D30" s="14">
        <f>'22'!C6</f>
        <v>50000</v>
      </c>
      <c r="E30" s="14">
        <f>'22'!C7</f>
        <v>0</v>
      </c>
      <c r="F30" s="14">
        <f>'22'!C8</f>
        <v>50000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231001306</v>
      </c>
      <c r="C31" s="12" t="s">
        <v>40</v>
      </c>
      <c r="D31" s="14">
        <f>'23'!C6</f>
        <v>55000</v>
      </c>
      <c r="E31" s="14">
        <f>'23'!C7</f>
        <v>0</v>
      </c>
      <c r="F31" s="14">
        <f>'23'!C8</f>
        <v>55000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231001307</v>
      </c>
      <c r="C32" s="12" t="s">
        <v>41</v>
      </c>
      <c r="D32" s="14">
        <f>'24'!C6</f>
        <v>50000</v>
      </c>
      <c r="E32" s="14">
        <f>'24'!C7</f>
        <v>0</v>
      </c>
      <c r="F32" s="14">
        <f>'24'!C8</f>
        <v>50000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231001309</v>
      </c>
      <c r="C33" s="12" t="s">
        <v>42</v>
      </c>
      <c r="D33" s="14">
        <f>'25'!C6</f>
        <v>135000</v>
      </c>
      <c r="E33" s="14">
        <f>'25'!C7</f>
        <v>0</v>
      </c>
      <c r="F33" s="14">
        <f>'25'!C8</f>
        <v>135000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231001310</v>
      </c>
      <c r="C34" s="12" t="s">
        <v>43</v>
      </c>
      <c r="D34" s="14">
        <f>'26'!C6</f>
        <v>11000</v>
      </c>
      <c r="E34" s="14">
        <f>'26'!C7</f>
        <v>0</v>
      </c>
      <c r="F34" s="14">
        <f>'26'!C8</f>
        <v>11000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231001311</v>
      </c>
      <c r="C35" s="12" t="s">
        <v>44</v>
      </c>
      <c r="D35" s="14">
        <f>'27'!C6</f>
        <v>145000</v>
      </c>
      <c r="E35" s="14">
        <f>'27'!C7</f>
        <v>0</v>
      </c>
      <c r="F35" s="14">
        <f>'27'!C8</f>
        <v>145000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231001312</v>
      </c>
      <c r="C36" s="12" t="s">
        <v>45</v>
      </c>
      <c r="D36" s="14">
        <f>'28'!C6</f>
        <v>79000</v>
      </c>
      <c r="E36" s="14">
        <f>'28'!C7</f>
        <v>50000</v>
      </c>
      <c r="F36" s="14">
        <f>'28'!C8</f>
        <v>29000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231001314</v>
      </c>
      <c r="C37" s="12" t="s">
        <v>46</v>
      </c>
      <c r="D37" s="14">
        <f>'29'!C6</f>
        <v>94000</v>
      </c>
      <c r="E37" s="14">
        <f>'29'!C7</f>
        <v>0</v>
      </c>
      <c r="F37" s="14">
        <f>'29'!C8</f>
        <v>94000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231001315</v>
      </c>
      <c r="C38" s="12" t="s">
        <v>47</v>
      </c>
      <c r="D38" s="14">
        <f>'30'!C6</f>
        <v>100000</v>
      </c>
      <c r="E38" s="14">
        <f>'30'!C7</f>
        <v>75000</v>
      </c>
      <c r="F38" s="14">
        <f>'30'!C8</f>
        <v>25000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231001316</v>
      </c>
      <c r="C39" s="12" t="s">
        <v>48</v>
      </c>
      <c r="D39" s="14">
        <f>'31'!C6</f>
        <v>280000</v>
      </c>
      <c r="E39" s="14">
        <f>'31'!C7</f>
        <v>0</v>
      </c>
      <c r="F39" s="14">
        <f>'31'!C8</f>
        <v>280000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231001317</v>
      </c>
      <c r="C40" s="12" t="s">
        <v>49</v>
      </c>
      <c r="D40" s="14">
        <f>'32'!C6</f>
        <v>28000</v>
      </c>
      <c r="E40" s="14">
        <f>'32'!C7</f>
        <v>0</v>
      </c>
      <c r="F40" s="14">
        <f>'32'!C8</f>
        <v>28000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231001318</v>
      </c>
      <c r="C41" s="12" t="s">
        <v>50</v>
      </c>
      <c r="D41" s="14">
        <f>'33'!C6</f>
        <v>122000</v>
      </c>
      <c r="E41" s="14">
        <f>'33'!C7</f>
        <v>0</v>
      </c>
      <c r="F41" s="14">
        <f>'33'!C8</f>
        <v>122000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231001319</v>
      </c>
      <c r="C42" s="12" t="s">
        <v>51</v>
      </c>
      <c r="D42" s="14">
        <f>'34'!C6</f>
        <v>82000</v>
      </c>
      <c r="E42" s="14">
        <f>'34'!C7</f>
        <v>0</v>
      </c>
      <c r="F42" s="14">
        <f>'34'!C8</f>
        <v>82000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231001320</v>
      </c>
      <c r="C43" s="12" t="s">
        <v>52</v>
      </c>
      <c r="D43" s="14">
        <f>'35'!C6</f>
        <v>350000</v>
      </c>
      <c r="E43" s="14">
        <f>'35'!C7</f>
        <v>0</v>
      </c>
      <c r="F43" s="14">
        <f>'35'!C8</f>
        <v>350000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231001322</v>
      </c>
      <c r="C44" s="12" t="s">
        <v>53</v>
      </c>
      <c r="D44" s="14">
        <f>'36'!C6</f>
        <v>33000</v>
      </c>
      <c r="E44" s="14">
        <f>'36'!C7</f>
        <v>0</v>
      </c>
      <c r="F44" s="14">
        <f>'36'!C8</f>
        <v>33000</v>
      </c>
      <c r="H44" s="13"/>
      <c r="I44" s="13"/>
      <c r="J44" s="13"/>
    </row>
    <row r="45" spans="1:10" x14ac:dyDescent="0.25">
      <c r="A45" s="2">
        <f t="shared" si="0"/>
        <v>37</v>
      </c>
      <c r="B45" s="11">
        <v>231001323</v>
      </c>
      <c r="C45" s="12" t="s">
        <v>54</v>
      </c>
      <c r="D45" s="14">
        <f>'37'!C6</f>
        <v>40000</v>
      </c>
      <c r="E45" s="14">
        <f>'37'!C7</f>
        <v>0</v>
      </c>
      <c r="F45" s="14">
        <f>'37'!C8</f>
        <v>40000</v>
      </c>
      <c r="H45" s="13"/>
      <c r="I45" s="13"/>
      <c r="J45" s="13"/>
    </row>
    <row r="46" spans="1:10" hidden="1" x14ac:dyDescent="0.25">
      <c r="A46" s="2">
        <f t="shared" si="0"/>
        <v>38</v>
      </c>
      <c r="B46" s="11">
        <v>38</v>
      </c>
      <c r="C46" s="12">
        <v>38</v>
      </c>
      <c r="D46" s="14">
        <f>'38'!C6</f>
        <v>0</v>
      </c>
      <c r="E46" s="14">
        <f>'38'!C7</f>
        <v>0</v>
      </c>
      <c r="F46" s="14">
        <f>'38'!C8</f>
        <v>0</v>
      </c>
      <c r="H46" s="13"/>
      <c r="I46" s="13"/>
      <c r="J46" s="13"/>
    </row>
    <row r="47" spans="1:10" hidden="1" x14ac:dyDescent="0.25">
      <c r="A47" s="2">
        <f t="shared" si="0"/>
        <v>39</v>
      </c>
      <c r="B47" s="11">
        <v>39</v>
      </c>
      <c r="C47" s="12">
        <v>39</v>
      </c>
      <c r="D47" s="14">
        <f>'39'!C6</f>
        <v>0</v>
      </c>
      <c r="E47" s="14">
        <f>'39'!C7</f>
        <v>0</v>
      </c>
      <c r="F47" s="14">
        <f>'39'!C8</f>
        <v>0</v>
      </c>
      <c r="H47" s="13"/>
      <c r="I47" s="13"/>
      <c r="J47" s="13"/>
    </row>
    <row r="48" spans="1:10" hidden="1" x14ac:dyDescent="0.25">
      <c r="A48" s="2">
        <f t="shared" si="0"/>
        <v>40</v>
      </c>
      <c r="B48" s="11">
        <v>40</v>
      </c>
      <c r="C48" s="12">
        <v>40</v>
      </c>
      <c r="D48" s="14">
        <f>'40'!C6</f>
        <v>0</v>
      </c>
      <c r="E48" s="14">
        <f>'40'!C7</f>
        <v>0</v>
      </c>
      <c r="F48" s="14">
        <f>'40'!C8</f>
        <v>0</v>
      </c>
      <c r="H48" s="13"/>
      <c r="I48" s="13"/>
      <c r="J48" s="13"/>
    </row>
    <row r="49" spans="1:10" hidden="1" x14ac:dyDescent="0.25">
      <c r="A49" s="2">
        <f t="shared" si="0"/>
        <v>41</v>
      </c>
      <c r="B49" s="11">
        <v>41</v>
      </c>
      <c r="C49" s="12">
        <v>41</v>
      </c>
      <c r="D49" s="14">
        <f>'41'!C6</f>
        <v>0</v>
      </c>
      <c r="E49" s="14">
        <f>'41'!C7</f>
        <v>0</v>
      </c>
      <c r="F49" s="14">
        <f>'41'!C8</f>
        <v>0</v>
      </c>
      <c r="H49" s="13"/>
      <c r="I49" s="13"/>
      <c r="J49" s="13"/>
    </row>
    <row r="50" spans="1:10" hidden="1" x14ac:dyDescent="0.25">
      <c r="A50" s="2">
        <f t="shared" si="0"/>
        <v>42</v>
      </c>
      <c r="B50" s="11">
        <v>42</v>
      </c>
      <c r="C50" s="12">
        <v>42</v>
      </c>
      <c r="D50" s="14">
        <f>'42'!C6</f>
        <v>0</v>
      </c>
      <c r="E50" s="14">
        <f>'42'!C7</f>
        <v>0</v>
      </c>
      <c r="F50" s="14">
        <f>'42'!C8</f>
        <v>0</v>
      </c>
      <c r="H50" s="13"/>
      <c r="I50" s="13"/>
      <c r="J50" s="13"/>
    </row>
    <row r="51" spans="1:10" hidden="1" x14ac:dyDescent="0.25">
      <c r="A51" s="2">
        <f t="shared" si="0"/>
        <v>43</v>
      </c>
      <c r="B51" s="11">
        <v>43</v>
      </c>
      <c r="C51" s="12">
        <v>43</v>
      </c>
      <c r="D51" s="14">
        <f>'43'!C6</f>
        <v>0</v>
      </c>
      <c r="E51" s="14">
        <f>'43'!C7</f>
        <v>0</v>
      </c>
      <c r="F51" s="14">
        <f>'43'!C8</f>
        <v>0</v>
      </c>
      <c r="H51" s="13"/>
      <c r="I51" s="13"/>
      <c r="J51" s="13"/>
    </row>
    <row r="52" spans="1:10" hidden="1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hidden="1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hidden="1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hidden="1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hidden="1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hidden="1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hidden="1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20" t="s">
        <v>57</v>
      </c>
      <c r="E60" s="20"/>
      <c r="F60" s="10"/>
    </row>
    <row r="61" spans="1:10" x14ac:dyDescent="0.25">
      <c r="A61" s="10"/>
      <c r="B61" s="10"/>
      <c r="C61" s="10"/>
      <c r="D61" s="20" t="s">
        <v>58</v>
      </c>
      <c r="E61" s="20"/>
      <c r="F61" s="10"/>
    </row>
    <row r="62" spans="1:10" x14ac:dyDescent="0.25">
      <c r="A62" s="10"/>
      <c r="B62" s="10"/>
      <c r="C62" s="10"/>
      <c r="D62" s="20"/>
      <c r="E62" s="20"/>
      <c r="F62" s="10"/>
    </row>
    <row r="63" spans="1:10" x14ac:dyDescent="0.25">
      <c r="A63" s="10"/>
      <c r="B63" s="10"/>
      <c r="C63" s="10"/>
      <c r="D63" s="20"/>
      <c r="E63" s="20"/>
      <c r="F63" s="10"/>
    </row>
    <row r="64" spans="1:10" x14ac:dyDescent="0.25">
      <c r="A64" s="10"/>
      <c r="B64" s="10"/>
      <c r="C64" s="10"/>
      <c r="D64" s="20"/>
      <c r="E64" s="20"/>
      <c r="F64" s="10"/>
    </row>
    <row r="65" spans="1:6" x14ac:dyDescent="0.25">
      <c r="A65" s="10"/>
      <c r="B65" s="10"/>
      <c r="C65" s="10"/>
      <c r="D65" s="19" t="s">
        <v>59</v>
      </c>
      <c r="E65" s="19"/>
      <c r="F65" s="10"/>
    </row>
  </sheetData>
  <sheetProtection algorithmName="SHA-512" hashValue="SHbrCez/8w4Ed+Cd+TNh+riDhw058U7vbhlfM2IfA1DsPkx6Y13XQFuRbhAuwV4IqfqfL4Yvv0eONn1iIFA2yA==" saltValue="FptBFrRjyfZFHF8bx5KUJQ==" spinCount="100000" sheet="1" objects="1" scenarios="1"/>
  <sortState ref="B9:C45">
    <sortCondition ref="C9:C45"/>
  </sortState>
  <mergeCells count="11">
    <mergeCell ref="D65:E65"/>
    <mergeCell ref="D60:E60"/>
    <mergeCell ref="D61:E61"/>
    <mergeCell ref="D62:E62"/>
    <mergeCell ref="D63:E63"/>
    <mergeCell ref="D64:E64"/>
    <mergeCell ref="A1:F1"/>
    <mergeCell ref="A4:B4"/>
    <mergeCell ref="A5:B5"/>
    <mergeCell ref="A6:B6"/>
    <mergeCell ref="A2:F2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AENA NUR BAENI</v>
      </c>
    </row>
    <row r="4" spans="1:9" x14ac:dyDescent="0.25">
      <c r="A4" s="21" t="s">
        <v>5</v>
      </c>
      <c r="B4" s="21"/>
      <c r="C4" s="4">
        <f>Sheet1!B9</f>
        <v>231001284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43000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39000</v>
      </c>
      <c r="D12" s="9"/>
      <c r="E12" s="5">
        <f>IF(B12&lt;&gt;"",C12-D12,"")</f>
        <v>39000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39000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43000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43000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43000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43000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43000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43000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43000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43000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43000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43000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43000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43000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AENI NURBAYANI</v>
      </c>
    </row>
    <row r="4" spans="1:9" x14ac:dyDescent="0.25">
      <c r="A4" s="21" t="s">
        <v>5</v>
      </c>
      <c r="B4" s="21"/>
      <c r="C4" s="4">
        <f>Sheet1!B10</f>
        <v>231001285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43000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39000</v>
      </c>
      <c r="D12" s="9"/>
      <c r="E12" s="5">
        <f>IF(B12&lt;&gt;"",C12-D12,"")</f>
        <v>39000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43000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43000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90" activePane="bottomRight" state="frozen"/>
      <selection activeCell="C12" sqref="C12"/>
      <selection pane="topRight" activeCell="C12" sqref="C12"/>
      <selection pane="bottomLeft" activeCell="C12" sqref="C12"/>
      <selection pane="bottomRight" activeCell="D15" sqref="D1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ALYA RAMADHANI</v>
      </c>
    </row>
    <row r="4" spans="1:9" x14ac:dyDescent="0.25">
      <c r="A4" s="21" t="s">
        <v>5</v>
      </c>
      <c r="B4" s="21"/>
      <c r="C4" s="4">
        <f>Sheet1!B11</f>
        <v>231001286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75000</v>
      </c>
      <c r="D12" s="9"/>
      <c r="E12" s="5">
        <f>IF(B12&lt;&gt;"",C12-D12,"")</f>
        <v>75000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75000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75000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2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ARIFFAH FARLY</v>
      </c>
    </row>
    <row r="4" spans="1:9" x14ac:dyDescent="0.25">
      <c r="A4" s="21" t="s">
        <v>5</v>
      </c>
      <c r="B4" s="21"/>
      <c r="C4" s="4">
        <f>Sheet1!B12</f>
        <v>231001287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48000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41000</v>
      </c>
      <c r="D12" s="9"/>
      <c r="E12" s="5">
        <f>IF(B12&lt;&gt;"",C12-D12,"")</f>
        <v>41000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46000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48000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48000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DAVINA</v>
      </c>
    </row>
    <row r="4" spans="1:9" x14ac:dyDescent="0.25">
      <c r="A4" s="21" t="s">
        <v>5</v>
      </c>
      <c r="B4" s="21"/>
      <c r="C4" s="4">
        <f>Sheet1!B13</f>
        <v>231001288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31000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31000</v>
      </c>
      <c r="D12" s="9"/>
      <c r="E12" s="5">
        <f>IF(B12&lt;&gt;"",C12-D12,"")</f>
        <v>31000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31000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C99" sqref="C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DELA LESTARI</v>
      </c>
    </row>
    <row r="4" spans="1:9" x14ac:dyDescent="0.25">
      <c r="A4" s="21" t="s">
        <v>5</v>
      </c>
      <c r="B4" s="21"/>
      <c r="C4" s="4">
        <f>Sheet1!B14</f>
        <v>231001289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85000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45000</v>
      </c>
      <c r="D12" s="9"/>
      <c r="E12" s="5">
        <f>IF(B12&lt;&gt;"",C12-D12,"")</f>
        <v>45000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50000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55000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75000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85000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85000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C79" sqref="C7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DIMAS ERLANGGA</v>
      </c>
    </row>
    <row r="4" spans="1:9" x14ac:dyDescent="0.25">
      <c r="A4" s="21" t="s">
        <v>5</v>
      </c>
      <c r="B4" s="21"/>
      <c r="C4" s="4">
        <f>Sheet1!B15</f>
        <v>231001290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84000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59000</v>
      </c>
      <c r="D12" s="9"/>
      <c r="E12" s="5">
        <f>IF(B12&lt;&gt;"",C12-D12,"")</f>
        <v>59000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64000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64000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64000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64000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74000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79000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79000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79000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84000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84000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D92" sqref="D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DINI ANJANI NUR AENI</v>
      </c>
    </row>
    <row r="4" spans="1:9" x14ac:dyDescent="0.25">
      <c r="A4" s="21" t="s">
        <v>5</v>
      </c>
      <c r="B4" s="21"/>
      <c r="C4" s="4">
        <f>Sheet1!B16</f>
        <v>231001291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38000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29000</v>
      </c>
      <c r="D12" s="9"/>
      <c r="E12" s="5">
        <f>IF(B12&lt;&gt;"",C12-D12,"")</f>
        <v>29000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31000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36000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2000</v>
      </c>
      <c r="D92" s="9"/>
      <c r="E92" s="5">
        <f t="shared" si="3"/>
        <v>38000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38000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81" activePane="bottomRight" state="frozen"/>
      <selection activeCell="C12" sqref="C12"/>
      <selection pane="topRight" activeCell="C12" sqref="C12"/>
      <selection pane="bottomLeft" activeCell="C12" sqref="C12"/>
      <selection pane="bottomRight" activeCell="D94" sqref="D9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FITRYA</v>
      </c>
    </row>
    <row r="4" spans="1:9" x14ac:dyDescent="0.25">
      <c r="A4" s="21" t="s">
        <v>5</v>
      </c>
      <c r="B4" s="21"/>
      <c r="C4" s="4">
        <f>Sheet1!B17</f>
        <v>231001292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109000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50000</v>
      </c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7000</v>
      </c>
      <c r="D28" s="9"/>
      <c r="E28" s="5">
        <f t="shared" si="1"/>
        <v>57000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10000</v>
      </c>
      <c r="D29" s="9"/>
      <c r="E29" s="5">
        <f t="shared" si="1"/>
        <v>67000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69000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69000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71000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73000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75000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77000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</v>
      </c>
      <c r="D43" s="9"/>
      <c r="E43" s="5">
        <f t="shared" si="1"/>
        <v>79000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81000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83000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85000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87000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89000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94000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96000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98000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103000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2000</v>
      </c>
      <c r="D89" s="9"/>
      <c r="E89" s="5">
        <f t="shared" si="3"/>
        <v>105000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107000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2000</v>
      </c>
      <c r="D92" s="9"/>
      <c r="E92" s="5">
        <f t="shared" si="3"/>
        <v>109000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109000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90" activePane="bottomRight" state="frozen"/>
      <selection pane="topRight" activeCell="B1" sqref="B1"/>
      <selection pane="bottomLeft" activeCell="A12" sqref="A12"/>
      <selection pane="bottomRight" activeCell="C102" sqref="C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HALIMATUSSADIAH</v>
      </c>
    </row>
    <row r="4" spans="1:9" x14ac:dyDescent="0.25">
      <c r="A4" s="21" t="s">
        <v>5</v>
      </c>
      <c r="B4" s="21"/>
      <c r="C4" s="4">
        <f>Sheet1!B18</f>
        <v>231001293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132000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94000</v>
      </c>
      <c r="D12" s="9"/>
      <c r="E12" s="5">
        <f>IF(B12&lt;&gt;"",C12-D12,"")</f>
        <v>94000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99000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104000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104000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104000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104000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109000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4000</v>
      </c>
      <c r="D57" s="9"/>
      <c r="E57" s="5">
        <f t="shared" si="1"/>
        <v>113000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4000</v>
      </c>
      <c r="D64" s="9"/>
      <c r="E64" s="5">
        <f t="shared" si="1"/>
        <v>117000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122000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122000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127000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132000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132000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IKSAN NUGRAHA</v>
      </c>
    </row>
    <row r="4" spans="1:9" x14ac:dyDescent="0.25">
      <c r="A4" s="21" t="s">
        <v>5</v>
      </c>
      <c r="B4" s="21"/>
      <c r="C4" s="4">
        <f>Sheet1!B19</f>
        <v>231001294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18000</v>
      </c>
      <c r="D12" s="9"/>
      <c r="E12" s="5">
        <f>IF(B12&lt;&gt;"",C12-D12,"")</f>
        <v>18000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18000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18000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D80" sqref="D8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JULIA</v>
      </c>
    </row>
    <row r="4" spans="1:9" x14ac:dyDescent="0.25">
      <c r="A4" s="21" t="s">
        <v>5</v>
      </c>
      <c r="B4" s="21"/>
      <c r="C4" s="4">
        <f>Sheet1!B20</f>
        <v>231001295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100000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22000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27000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3000</v>
      </c>
      <c r="D27" s="9"/>
      <c r="E27" s="5">
        <f t="shared" si="1"/>
        <v>30000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20000</v>
      </c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50000</v>
      </c>
      <c r="D43" s="9"/>
      <c r="E43" s="5">
        <f t="shared" si="1"/>
        <v>100000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>
        <v>100000</v>
      </c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81" activePane="bottomRight" state="frozen"/>
      <selection activeCell="C12" sqref="C12"/>
      <selection pane="topRight" activeCell="C12" sqref="C12"/>
      <selection pane="bottomLeft" activeCell="C12" sqref="C12"/>
      <selection pane="bottomRight" activeCell="C92" sqref="C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KANANTI MAHARDINI</v>
      </c>
    </row>
    <row r="4" spans="1:9" x14ac:dyDescent="0.25">
      <c r="A4" s="21" t="s">
        <v>5</v>
      </c>
      <c r="B4" s="21"/>
      <c r="C4" s="4">
        <f>Sheet1!B21</f>
        <v>231001296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64000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14000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53000</v>
      </c>
      <c r="D12" s="9"/>
      <c r="E12" s="5">
        <f>IF(B12&lt;&gt;"",C12-D12,"")</f>
        <v>53000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55000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59000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50000</v>
      </c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14000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14000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M. IRWAN RUHIANSYAH</v>
      </c>
    </row>
    <row r="4" spans="1:9" x14ac:dyDescent="0.25">
      <c r="A4" s="21" t="s">
        <v>5</v>
      </c>
      <c r="B4" s="21"/>
      <c r="C4" s="4">
        <f>Sheet1!B22</f>
        <v>231001299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150000</v>
      </c>
    </row>
    <row r="7" spans="1:9" x14ac:dyDescent="0.25">
      <c r="A7" s="21" t="s">
        <v>15</v>
      </c>
      <c r="B7" s="21"/>
      <c r="C7" s="8">
        <f>SUM(D12:D376)</f>
        <v>15000</v>
      </c>
    </row>
    <row r="8" spans="1:9" x14ac:dyDescent="0.25">
      <c r="A8" s="21" t="s">
        <v>16</v>
      </c>
      <c r="B8" s="21"/>
      <c r="C8" s="8">
        <f>SUM(C6-C7)</f>
        <v>135000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90000</v>
      </c>
      <c r="D12" s="9"/>
      <c r="E12" s="5">
        <f>IF(B12&lt;&gt;"",C12-D12,"")</f>
        <v>90000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90000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90000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90000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90000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95000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100000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105000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110000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115000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125000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5000</v>
      </c>
      <c r="D69" s="9"/>
      <c r="E69" s="5">
        <f t="shared" si="1"/>
        <v>130000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135000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140000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140000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140000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140000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140000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140000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140000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140000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140000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145000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145000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>
        <v>15000</v>
      </c>
      <c r="E103" s="5">
        <f t="shared" si="3"/>
        <v>135000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135000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activeCell="D97" sqref="D9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MEYLANI SRI RAHAYU</v>
      </c>
    </row>
    <row r="4" spans="1:9" x14ac:dyDescent="0.25">
      <c r="A4" s="21" t="s">
        <v>5</v>
      </c>
      <c r="B4" s="21"/>
      <c r="C4" s="4">
        <f>Sheet1!B23</f>
        <v>231001297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100000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51000</v>
      </c>
      <c r="D12" s="9"/>
      <c r="E12" s="5">
        <f>IF(B12&lt;&gt;"",C12-D12,"")</f>
        <v>51000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53000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55000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60000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60000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65000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65000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70000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75000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80000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82000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87000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92000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3000</v>
      </c>
      <c r="D92" s="9"/>
      <c r="E92" s="5">
        <f t="shared" si="3"/>
        <v>95000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100000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99" activePane="bottomRight" state="frozen"/>
      <selection activeCell="C12" sqref="C12"/>
      <selection pane="topRight" activeCell="C12" sqref="C12"/>
      <selection pane="bottomLeft" activeCell="C12" sqref="C12"/>
      <selection pane="bottomRight" activeCell="D109" sqref="D10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MORENO RAFAEL RADITYA NANDA</v>
      </c>
    </row>
    <row r="4" spans="1:9" x14ac:dyDescent="0.25">
      <c r="A4" s="21" t="s">
        <v>5</v>
      </c>
      <c r="B4" s="21"/>
      <c r="C4" s="4">
        <f>Sheet1!B24</f>
        <v>231001298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305000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125000</v>
      </c>
      <c r="D12" s="9"/>
      <c r="E12" s="5">
        <f>IF(B12&lt;&gt;"",C12-D12,"")</f>
        <v>125000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125000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125000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125000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125000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125000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125000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125000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130000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135000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135000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145000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155000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160000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160000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165000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170000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170000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170000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170000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175000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175000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175000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180000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180000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180000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180000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180000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15000</v>
      </c>
      <c r="D48" s="9"/>
      <c r="E48" s="5">
        <f t="shared" si="1"/>
        <v>195000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200000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205000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5000</v>
      </c>
      <c r="D51" s="9"/>
      <c r="E51" s="5">
        <f t="shared" si="1"/>
        <v>210000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210000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210000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215000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215000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215000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220000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225000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230000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235000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240000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245000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250000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5000</v>
      </c>
      <c r="D89" s="9"/>
      <c r="E89" s="5">
        <f t="shared" si="3"/>
        <v>255000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260000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5000</v>
      </c>
      <c r="D91" s="9"/>
      <c r="E91" s="5">
        <f t="shared" si="3"/>
        <v>265000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270000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>
        <v>5000</v>
      </c>
      <c r="D93" s="9"/>
      <c r="E93" s="5">
        <f t="shared" si="3"/>
        <v>275000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5000</v>
      </c>
      <c r="D97" s="9"/>
      <c r="E97" s="5">
        <f t="shared" si="3"/>
        <v>280000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285000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290000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5000</v>
      </c>
      <c r="D100" s="9"/>
      <c r="E100" s="5">
        <f t="shared" si="3"/>
        <v>295000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295000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295000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5000</v>
      </c>
      <c r="D103" s="9"/>
      <c r="E103" s="5">
        <f t="shared" si="3"/>
        <v>300000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5000</v>
      </c>
      <c r="D106" s="9"/>
      <c r="E106" s="5">
        <f t="shared" si="3"/>
        <v>305000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305000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ABYANSAH</v>
      </c>
    </row>
    <row r="4" spans="1:9" x14ac:dyDescent="0.25">
      <c r="A4" s="21" t="s">
        <v>5</v>
      </c>
      <c r="B4" s="21"/>
      <c r="C4" s="4">
        <f>Sheet1!B25</f>
        <v>231001408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39000</v>
      </c>
      <c r="D12" s="9"/>
      <c r="E12" s="5">
        <f>IF(B12&lt;&gt;"",C12-D12,"")</f>
        <v>39000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2000</v>
      </c>
      <c r="D20" s="9"/>
      <c r="E20" s="5">
        <f t="shared" si="1"/>
        <v>41000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43000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45000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>
        <v>2000</v>
      </c>
      <c r="D25" s="9"/>
      <c r="E25" s="5">
        <f t="shared" si="1"/>
        <v>47000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49000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51000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53000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55000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59000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61000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63000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65000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65000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65000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</v>
      </c>
      <c r="D69" s="9"/>
      <c r="E69" s="5">
        <f t="shared" si="1"/>
        <v>67000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69000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71000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76000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>
        <v>2000</v>
      </c>
      <c r="D100" s="9"/>
      <c r="E100" s="5">
        <f t="shared" si="3"/>
        <v>78000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2000</v>
      </c>
      <c r="D104" s="9"/>
      <c r="E104" s="5">
        <f t="shared" si="3"/>
        <v>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activeCell="D81" sqref="D8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MUHAMAD RASYA</v>
      </c>
    </row>
    <row r="4" spans="1:9" x14ac:dyDescent="0.25">
      <c r="A4" s="21" t="s">
        <v>5</v>
      </c>
      <c r="B4" s="21"/>
      <c r="C4" s="4">
        <f>Sheet1!B26</f>
        <v>231001413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66000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16000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59000</v>
      </c>
      <c r="D12" s="9"/>
      <c r="E12" s="5">
        <f>IF(B12&lt;&gt;"",C12-D12,"")</f>
        <v>59000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64000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64000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64000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64000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64000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64000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64000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</v>
      </c>
      <c r="D69" s="9"/>
      <c r="E69" s="5">
        <f t="shared" si="1"/>
        <v>66000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66000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66000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66000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66000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50000</v>
      </c>
      <c r="E79" s="5">
        <f t="shared" ref="E79:E142" si="3">IF(B79&lt;&gt;"",E78+C79-D79,"")</f>
        <v>16000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16000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2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TIRTA YASA</v>
      </c>
    </row>
    <row r="4" spans="1:9" x14ac:dyDescent="0.25">
      <c r="A4" s="21" t="s">
        <v>5</v>
      </c>
      <c r="B4" s="21"/>
      <c r="C4" s="4">
        <f>Sheet1!B27</f>
        <v>231001301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57000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43000</v>
      </c>
      <c r="D12" s="9"/>
      <c r="E12" s="5">
        <f>IF(B12&lt;&gt;"",C12-D12,"")</f>
        <v>43000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2000</v>
      </c>
      <c r="D20" s="9"/>
      <c r="E20" s="5">
        <f t="shared" si="1"/>
        <v>45000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47000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49000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51000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53000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55000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57000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D102" sqref="D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MUTIA SULISTIAWATI</v>
      </c>
    </row>
    <row r="4" spans="1:9" x14ac:dyDescent="0.25">
      <c r="A4" s="21" t="s">
        <v>5</v>
      </c>
      <c r="B4" s="21"/>
      <c r="C4" s="4">
        <f>Sheet1!B28</f>
        <v>231001303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205000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117000</v>
      </c>
      <c r="D12" s="9"/>
      <c r="E12" s="5">
        <f>IF(B12&lt;&gt;"",C12-D12,"")</f>
        <v>117000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5000</v>
      </c>
      <c r="D20" s="9"/>
      <c r="E20" s="5">
        <f t="shared" si="1"/>
        <v>122000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5000</v>
      </c>
      <c r="D21" s="9"/>
      <c r="E21" s="5">
        <f t="shared" si="1"/>
        <v>127000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132000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132000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132000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132000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132000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132000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4000</v>
      </c>
      <c r="D28" s="9"/>
      <c r="E28" s="5">
        <f t="shared" si="1"/>
        <v>136000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143000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145000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147000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147000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3000</v>
      </c>
      <c r="D37" s="9"/>
      <c r="E37" s="5">
        <f t="shared" si="1"/>
        <v>150000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4000</v>
      </c>
      <c r="D41" s="9"/>
      <c r="E41" s="5">
        <f t="shared" si="1"/>
        <v>154000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154000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8000</v>
      </c>
      <c r="D43" s="9"/>
      <c r="E43" s="5">
        <f t="shared" si="1"/>
        <v>162000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162000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162000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162000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162000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4000</v>
      </c>
      <c r="D48" s="9"/>
      <c r="E48" s="5">
        <f t="shared" si="1"/>
        <v>166000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166000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166000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166000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166000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166000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166000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166000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166000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171000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171000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171000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171000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171000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171000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4000</v>
      </c>
      <c r="D63" s="9"/>
      <c r="E63" s="5">
        <f t="shared" si="1"/>
        <v>175000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3000</v>
      </c>
      <c r="D64" s="9"/>
      <c r="E64" s="5">
        <f t="shared" si="1"/>
        <v>178000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178000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178000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178000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178000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178000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4000</v>
      </c>
      <c r="D70" s="9"/>
      <c r="E70" s="5">
        <f t="shared" si="1"/>
        <v>182000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4000</v>
      </c>
      <c r="D71" s="9"/>
      <c r="E71" s="5">
        <f t="shared" si="1"/>
        <v>186000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186000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186000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186000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186000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186000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4000</v>
      </c>
      <c r="D77" s="9"/>
      <c r="E77" s="5">
        <f t="shared" si="1"/>
        <v>190000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190000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190000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190000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190000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190000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190000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190000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190000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190000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190000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190000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190000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3000</v>
      </c>
      <c r="D90" s="9"/>
      <c r="E90" s="5">
        <f t="shared" si="3"/>
        <v>193000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195000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195000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195000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195000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195000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195000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2000</v>
      </c>
      <c r="D97" s="9"/>
      <c r="E97" s="5">
        <f t="shared" si="3"/>
        <v>197000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197000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197000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4000</v>
      </c>
      <c r="D103" s="9"/>
      <c r="E103" s="5">
        <f t="shared" si="3"/>
        <v>201000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4000</v>
      </c>
      <c r="D105" s="9"/>
      <c r="E105" s="5">
        <f t="shared" si="3"/>
        <v>205000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205000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C103" sqref="C10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NABILA SAKIB</v>
      </c>
    </row>
    <row r="4" spans="1:9" x14ac:dyDescent="0.25">
      <c r="A4" s="21" t="s">
        <v>5</v>
      </c>
      <c r="B4" s="21"/>
      <c r="C4" s="4">
        <f>Sheet1!B29</f>
        <v>231001304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67000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67000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52000</v>
      </c>
      <c r="D12" s="9"/>
      <c r="E12" s="5">
        <f>IF(B12&lt;&gt;"",C12-D12,"")</f>
        <v>52000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5000</v>
      </c>
      <c r="D22" s="9"/>
      <c r="E22" s="5">
        <f t="shared" si="1"/>
        <v>57000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57000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57000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57000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57000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57000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57000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57000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57000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57000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57000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57000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57000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57000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57000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62000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67000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67000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activeCell="D45" sqref="D45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NANDA ASSIFA</v>
      </c>
    </row>
    <row r="4" spans="1:9" x14ac:dyDescent="0.25">
      <c r="A4" s="21" t="s">
        <v>5</v>
      </c>
      <c r="B4" s="21"/>
      <c r="C4" s="4">
        <f>Sheet1!B30</f>
        <v>231001305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36000</v>
      </c>
      <c r="D12" s="9"/>
      <c r="E12" s="5">
        <f>IF(B12&lt;&gt;"",C12-D12,"")</f>
        <v>36000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38000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42000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44000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46000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48000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8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PUTRI ANISA</v>
      </c>
    </row>
    <row r="4" spans="1:9" x14ac:dyDescent="0.25">
      <c r="A4" s="21" t="s">
        <v>5</v>
      </c>
      <c r="B4" s="21"/>
      <c r="C4" s="4">
        <f>Sheet1!B31</f>
        <v>231001306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37000</v>
      </c>
      <c r="D12" s="9"/>
      <c r="E12" s="5">
        <f>IF(B12&lt;&gt;"",C12-D12,"")</f>
        <v>37000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37000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37000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37000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37000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37000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37000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37000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37000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37000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37000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37000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37000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37000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39000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41000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43000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3000</v>
      </c>
      <c r="D33" s="9"/>
      <c r="E33" s="5">
        <f t="shared" si="1"/>
        <v>46000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48000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55000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55000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33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QAIS NUR SYAHRANI</v>
      </c>
    </row>
    <row r="4" spans="1:9" x14ac:dyDescent="0.25">
      <c r="A4" s="21" t="s">
        <v>5</v>
      </c>
      <c r="B4" s="21"/>
      <c r="C4" s="4">
        <f>Sheet1!B32</f>
        <v>231001307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46000</v>
      </c>
      <c r="D12" s="9"/>
      <c r="E12" s="5">
        <f>IF(B12&lt;&gt;"",C12-D12,"")</f>
        <v>46000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46000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46000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46000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48000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50000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activeCell="D78" sqref="D7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RIKA AJENG OKTAPIA</v>
      </c>
    </row>
    <row r="4" spans="1:9" x14ac:dyDescent="0.25">
      <c r="A4" s="21" t="s">
        <v>5</v>
      </c>
      <c r="B4" s="21"/>
      <c r="C4" s="4">
        <f>Sheet1!B33</f>
        <v>231001309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80000</v>
      </c>
      <c r="D12" s="9"/>
      <c r="E12" s="5">
        <f>IF(B12&lt;&gt;"",C12-D12,"")</f>
        <v>80000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80000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80000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80000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80000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80000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80000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80000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80000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80000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80000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80000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80000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80000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80000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80000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80000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85000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95000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100000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100000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105000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110000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115000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120000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125000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130000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135000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135000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E7" sqref="E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RIKI BAYU KRISTI</v>
      </c>
    </row>
    <row r="4" spans="1:9" x14ac:dyDescent="0.25">
      <c r="A4" s="21" t="s">
        <v>5</v>
      </c>
      <c r="B4" s="21"/>
      <c r="C4" s="4">
        <f>Sheet1!B34</f>
        <v>231001310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11000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11000</v>
      </c>
      <c r="D12" s="9"/>
      <c r="E12" s="5">
        <f>IF(B12&lt;&gt;"",C12-D12,"")</f>
        <v>11000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11000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11000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11000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11000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11000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11000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11000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11000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11000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11000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11000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11000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11000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11000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11000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11000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30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RIZKI RIPATULLOH</v>
      </c>
    </row>
    <row r="4" spans="1:9" x14ac:dyDescent="0.25">
      <c r="A4" s="21" t="s">
        <v>5</v>
      </c>
      <c r="B4" s="21"/>
      <c r="C4" s="4">
        <f>Sheet1!B35</f>
        <v>231001311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145000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145000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135000</v>
      </c>
      <c r="D12" s="9"/>
      <c r="E12" s="5">
        <f>IF(B12&lt;&gt;"",C12-D12,"")</f>
        <v>135000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135000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135000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140000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140000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140000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140000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140000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145000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145000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145000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145000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145000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145000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145000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145000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145000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145000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145000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145000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145000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145000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145000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145000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145000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145000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145000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145000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145000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145000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145000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145000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145000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145000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145000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145000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145000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145000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145000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145000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145000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145000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145000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145000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145000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145000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145000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145000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145000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145000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145000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145000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145000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145000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145000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145000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145000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145000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145000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145000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145000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145000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145000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145000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145000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145000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145000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145000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145000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145000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145000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145000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145000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145000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145000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145000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145000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145000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145000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145000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145000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145000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145000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145000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145000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145000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145000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145000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145000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145000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145000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145000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145000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145000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145000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145000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145000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145000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145000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145000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145000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145000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145000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145000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145000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145000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145000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145000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145000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145000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145000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145000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145000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145000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145000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145000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145000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145000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145000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145000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145000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145000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145000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145000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145000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145000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145000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145000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145000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145000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145000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145000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145000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145000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145000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145000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145000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145000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145000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145000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145000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145000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145000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145000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145000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145000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145000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145000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145000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145000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145000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145000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145000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145000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145000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145000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145000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145000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145000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145000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145000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145000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145000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145000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145000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145000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145000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145000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145000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145000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145000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145000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145000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145000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145000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145000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145000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145000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145000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145000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145000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145000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145000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145000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145000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145000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145000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145000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145000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145000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145000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145000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145000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145000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145000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145000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145000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145000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145000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145000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145000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145000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145000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145000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145000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145000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145000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145000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145000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145000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145000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145000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145000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145000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145000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145000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145000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145000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145000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145000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145000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145000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145000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145000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145000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145000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145000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145000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145000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145000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145000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145000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145000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145000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145000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145000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145000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145000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145000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145000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145000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145000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145000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145000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145000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145000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145000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145000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145000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145000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145000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145000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145000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145000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145000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145000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145000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145000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145000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145000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145000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145000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145000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145000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145000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145000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145000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145000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145000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145000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145000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145000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145000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145000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145000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145000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145000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145000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145000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145000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145000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145000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145000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145000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145000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145000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145000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145000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145000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145000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145000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145000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145000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145000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145000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145000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145000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145000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145000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145000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145000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145000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145000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145000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145000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145000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145000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145000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145000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145000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145000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145000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145000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145000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145000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145000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145000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145000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145000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145000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145000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145000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145000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145000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145000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145000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145000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145000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145000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145000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145000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145000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145000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145000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145000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145000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145000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145000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145000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145000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145000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145000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145000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102" activePane="bottomRight" state="frozen"/>
      <selection pane="topRight" activeCell="B1" sqref="B1"/>
      <selection pane="bottomLeft" activeCell="A12" sqref="A12"/>
      <selection pane="bottomRight" activeCell="D107" sqref="D10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SALSA NABILA NUR FITRIA</v>
      </c>
    </row>
    <row r="4" spans="1:9" x14ac:dyDescent="0.25">
      <c r="A4" s="21" t="s">
        <v>5</v>
      </c>
      <c r="B4" s="21"/>
      <c r="C4" s="4">
        <f>Sheet1!B36</f>
        <v>231001312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79000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29000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56000</v>
      </c>
      <c r="D12" s="9"/>
      <c r="E12" s="5">
        <f>IF(B12&lt;&gt;"",C12-D12,"")</f>
        <v>56000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58000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60000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60000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60000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60000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60000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62000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62000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62000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62000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64000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66000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66000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3000</v>
      </c>
      <c r="D48" s="9"/>
      <c r="E48" s="5">
        <f t="shared" si="1"/>
        <v>69000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69000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71000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71000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71000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71000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71000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71000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71000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71000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71000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71000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71000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71000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50000</v>
      </c>
      <c r="E79" s="5">
        <f t="shared" ref="E79:E142" si="3">IF(B79&lt;&gt;"",E78+C79-D79,"")</f>
        <v>21000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4000</v>
      </c>
      <c r="D92" s="9"/>
      <c r="E92" s="5">
        <f t="shared" si="3"/>
        <v>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27000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>
        <v>2000</v>
      </c>
      <c r="D106" s="9"/>
      <c r="E106" s="5">
        <f t="shared" si="3"/>
        <v>29000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29000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84" activePane="bottomRight" state="frozen"/>
      <selection pane="topRight" activeCell="B1" sqref="B1"/>
      <selection pane="bottomLeft" activeCell="A12" sqref="A12"/>
      <selection pane="bottomRight" activeCell="D98" sqref="D9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SHYSIL HERLYA RAMADHANI</v>
      </c>
    </row>
    <row r="4" spans="1:9" x14ac:dyDescent="0.25">
      <c r="A4" s="21" t="s">
        <v>5</v>
      </c>
      <c r="B4" s="21"/>
      <c r="C4" s="4">
        <f>Sheet1!B37</f>
        <v>231001314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94000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29000</v>
      </c>
      <c r="D12" s="9"/>
      <c r="E12" s="5">
        <f>IF(B12&lt;&gt;"",C12-D12,"")</f>
        <v>29000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29000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29000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29000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29000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29000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29000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29000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29000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29000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29000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29000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29000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29000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29000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34000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39000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44000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49000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54000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59000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64000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69000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74000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79000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84000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5000</v>
      </c>
      <c r="D90" s="9"/>
      <c r="E90" s="5">
        <f t="shared" si="3"/>
        <v>89000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94000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94000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99" activePane="bottomRight" state="frozen"/>
      <selection pane="topRight" activeCell="B1" sqref="B1"/>
      <selection pane="bottomLeft" activeCell="A12" sqref="A12"/>
      <selection pane="bottomRight" activeCell="D107" sqref="D10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SIFA ANINDIA</v>
      </c>
    </row>
    <row r="4" spans="1:9" x14ac:dyDescent="0.25">
      <c r="A4" s="21" t="s">
        <v>5</v>
      </c>
      <c r="B4" s="21"/>
      <c r="C4" s="4">
        <f>Sheet1!B38</f>
        <v>231001315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100000</v>
      </c>
    </row>
    <row r="7" spans="1:9" x14ac:dyDescent="0.25">
      <c r="A7" s="21" t="s">
        <v>15</v>
      </c>
      <c r="B7" s="21"/>
      <c r="C7" s="8">
        <f>SUM(D12:D376)</f>
        <v>75000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54000</v>
      </c>
      <c r="D12" s="9"/>
      <c r="E12" s="5">
        <f>IF(B12&lt;&gt;"",C12-D12,"")</f>
        <v>54000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56000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60000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62000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62000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62000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64000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64000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66000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68000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72000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72000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74000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>
        <v>2000</v>
      </c>
      <c r="D69" s="9"/>
      <c r="E69" s="5">
        <f t="shared" si="1"/>
        <v>76000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78000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80000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2000</v>
      </c>
      <c r="D78" s="9"/>
      <c r="E78" s="5">
        <f t="shared" si="1"/>
        <v>82000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75000</v>
      </c>
      <c r="E79" s="5">
        <f t="shared" ref="E79:E142" si="3">IF(B79&lt;&gt;"",E78+C79-D79,"")</f>
        <v>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>
        <v>2000</v>
      </c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2000</v>
      </c>
      <c r="D90" s="9"/>
      <c r="E90" s="5">
        <f t="shared" si="3"/>
        <v>11000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13000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2000</v>
      </c>
      <c r="D92" s="9"/>
      <c r="E92" s="5">
        <f t="shared" si="3"/>
        <v>15000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2000</v>
      </c>
      <c r="D98" s="9"/>
      <c r="E98" s="5">
        <f t="shared" si="3"/>
        <v>17000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2000</v>
      </c>
      <c r="D99" s="9"/>
      <c r="E99" s="5">
        <f t="shared" si="3"/>
        <v>19000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>
        <v>2000</v>
      </c>
      <c r="D103" s="9"/>
      <c r="E103" s="5">
        <f t="shared" si="3"/>
        <v>21000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2000</v>
      </c>
      <c r="D104" s="9"/>
      <c r="E104" s="5">
        <f t="shared" si="3"/>
        <v>23000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75" activePane="bottomRight" state="frozen"/>
      <selection pane="topRight" activeCell="B1" sqref="B1"/>
      <selection pane="bottomLeft" activeCell="A12" sqref="A12"/>
      <selection pane="bottomRight" activeCell="C79" sqref="C7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SITI HANNA MUZVIROH</v>
      </c>
    </row>
    <row r="4" spans="1:9" x14ac:dyDescent="0.25">
      <c r="A4" s="21" t="s">
        <v>5</v>
      </c>
      <c r="B4" s="21"/>
      <c r="C4" s="4">
        <f>Sheet1!B39</f>
        <v>231001316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280000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200000</v>
      </c>
      <c r="D12" s="9"/>
      <c r="E12" s="5">
        <f>IF(B12&lt;&gt;"",C12-D12,"")</f>
        <v>200000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205000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215000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220000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225000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230000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235000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240000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245000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250000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255000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260000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265000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265000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265000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265000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265000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265000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265000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265000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265000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265000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265000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265000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265000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265000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265000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265000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265000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265000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265000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270000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270000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275000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280000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280000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280000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280000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280000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280000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280000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280000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280000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280000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280000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280000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280000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280000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27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SITI MAULIDA KARATUA</v>
      </c>
    </row>
    <row r="4" spans="1:9" x14ac:dyDescent="0.25">
      <c r="A4" s="21" t="s">
        <v>5</v>
      </c>
      <c r="B4" s="21"/>
      <c r="C4" s="4">
        <f>Sheet1!B40</f>
        <v>231001317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28000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26000</v>
      </c>
      <c r="D12" s="9"/>
      <c r="E12" s="5">
        <f>IF(B12&lt;&gt;"",C12-D12,"")</f>
        <v>26000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28000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28000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C99" sqref="C9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SITI MUFLIHAH OKTAVIANI</v>
      </c>
    </row>
    <row r="4" spans="1:9" x14ac:dyDescent="0.25">
      <c r="A4" s="21" t="s">
        <v>5</v>
      </c>
      <c r="B4" s="21"/>
      <c r="C4" s="4">
        <f>Sheet1!B41</f>
        <v>231001318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122000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73000</v>
      </c>
      <c r="D12" s="9"/>
      <c r="E12" s="5">
        <f>IF(B12&lt;&gt;"",C12-D12,"")</f>
        <v>73000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73000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73000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73000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73000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73000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73000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73000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73000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2000</v>
      </c>
      <c r="D21" s="9"/>
      <c r="E21" s="5">
        <f t="shared" si="1"/>
        <v>75000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75000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75000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75000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75000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75000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77000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77000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77000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77000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77000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77000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77000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77000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82000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87000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92000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>
        <v>5000</v>
      </c>
      <c r="D78" s="9"/>
      <c r="E78" s="5">
        <f t="shared" si="1"/>
        <v>97000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97000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97000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97000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97000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97000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97000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97000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97000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97000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97000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97000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97000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97000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5000</v>
      </c>
      <c r="D92" s="9"/>
      <c r="E92" s="5">
        <f t="shared" si="3"/>
        <v>102000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>
        <v>10000</v>
      </c>
      <c r="D97" s="9"/>
      <c r="E97" s="5">
        <f t="shared" si="3"/>
        <v>112000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>
        <v>5000</v>
      </c>
      <c r="D98" s="9"/>
      <c r="E98" s="5">
        <f t="shared" si="3"/>
        <v>117000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122000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122000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96" activePane="bottomRight" state="frozen"/>
      <selection pane="topRight" activeCell="B1" sqref="B1"/>
      <selection pane="bottomLeft" activeCell="A12" sqref="A12"/>
      <selection pane="bottomRight" activeCell="D106" sqref="D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SITI NUR PADILAH</v>
      </c>
    </row>
    <row r="4" spans="1:9" x14ac:dyDescent="0.25">
      <c r="A4" s="21" t="s">
        <v>5</v>
      </c>
      <c r="B4" s="21"/>
      <c r="C4" s="4">
        <f>Sheet1!B42</f>
        <v>231001319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82000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50000</v>
      </c>
      <c r="D12" s="9"/>
      <c r="E12" s="5">
        <f>IF(B12&lt;&gt;"",C12-D12,"")</f>
        <v>50000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50000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50000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50000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50000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50000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50000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50000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50000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50000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50000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50000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50000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50000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50000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50000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52000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4000</v>
      </c>
      <c r="D34" s="9"/>
      <c r="E34" s="5">
        <f t="shared" si="1"/>
        <v>58000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63000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68000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72000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72000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74000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74000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74000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76000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76000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>
        <v>2000</v>
      </c>
      <c r="D90" s="9"/>
      <c r="E90" s="5">
        <f t="shared" si="3"/>
        <v>78000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</v>
      </c>
      <c r="D91" s="9"/>
      <c r="E91" s="5">
        <f t="shared" si="3"/>
        <v>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>
        <v>2000</v>
      </c>
      <c r="D105" s="9"/>
      <c r="E105" s="5">
        <f t="shared" si="3"/>
        <v>82000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82000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ULIS</v>
      </c>
    </row>
    <row r="4" spans="1:9" x14ac:dyDescent="0.25">
      <c r="A4" s="21" t="s">
        <v>5</v>
      </c>
      <c r="B4" s="21"/>
      <c r="C4" s="4">
        <f>Sheet1!B43</f>
        <v>231001320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350000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215000</v>
      </c>
      <c r="D12" s="9"/>
      <c r="E12" s="5">
        <f>IF(B12&lt;&gt;"",C12-D12,"")</f>
        <v>215000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>
        <v>10000</v>
      </c>
      <c r="D20" s="9"/>
      <c r="E20" s="5">
        <f t="shared" si="1"/>
        <v>225000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>
        <v>10000</v>
      </c>
      <c r="D21" s="9"/>
      <c r="E21" s="5">
        <f t="shared" si="1"/>
        <v>235000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10000</v>
      </c>
      <c r="D22" s="9"/>
      <c r="E22" s="5">
        <f t="shared" si="1"/>
        <v>245000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245000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245000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245000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20000</v>
      </c>
      <c r="D26" s="9"/>
      <c r="E26" s="5">
        <f t="shared" si="1"/>
        <v>265000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10000</v>
      </c>
      <c r="D27" s="9"/>
      <c r="E27" s="5">
        <f t="shared" si="1"/>
        <v>275000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10000</v>
      </c>
      <c r="D28" s="9"/>
      <c r="E28" s="5">
        <f t="shared" si="1"/>
        <v>285000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290000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290000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290000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290000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290000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290000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290000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290000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290000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10000</v>
      </c>
      <c r="D41" s="9"/>
      <c r="E41" s="5">
        <f t="shared" si="1"/>
        <v>300000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300000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300000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20000</v>
      </c>
      <c r="D91" s="9"/>
      <c r="E91" s="5">
        <f t="shared" si="3"/>
        <v>320000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>
        <v>10000</v>
      </c>
      <c r="D92" s="9"/>
      <c r="E92" s="5">
        <f t="shared" si="3"/>
        <v>330000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20000</v>
      </c>
      <c r="D104" s="9"/>
      <c r="E104" s="5">
        <f t="shared" si="3"/>
        <v>350000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Sheet1!C44</f>
        <v>XENA AULYA CANTYKA RAMADANY</v>
      </c>
    </row>
    <row r="4" spans="1:9" x14ac:dyDescent="0.25">
      <c r="A4" s="21" t="s">
        <v>5</v>
      </c>
      <c r="B4" s="21"/>
      <c r="C4" s="4">
        <f>Sheet1!B44</f>
        <v>231001322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33000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33000</v>
      </c>
      <c r="D12" s="9"/>
      <c r="E12" s="5">
        <f>IF(B12&lt;&gt;"",C12-D12,"")</f>
        <v>33000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33000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33000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33000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33000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33000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33000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33000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33000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33000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33000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33000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33000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33000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33000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33000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33000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33000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33000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33000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33000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33000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33000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33000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60" activePane="bottomRight" state="frozen"/>
      <selection pane="topRight" activeCell="B1" sqref="B1"/>
      <selection pane="bottomLeft" activeCell="A12" sqref="A12"/>
      <selection pane="bottomRight" activeCell="C66" sqref="C6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Sheet1!C45</f>
        <v>YUNI RAHMAWATI</v>
      </c>
    </row>
    <row r="4" spans="1:9" x14ac:dyDescent="0.25">
      <c r="A4" s="21" t="s">
        <v>5</v>
      </c>
      <c r="B4" s="21"/>
      <c r="C4" s="4">
        <f>Sheet1!B45</f>
        <v>231001323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40000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22000</v>
      </c>
      <c r="D12" s="9"/>
      <c r="E12" s="5">
        <f>IF(B12&lt;&gt;"",C12-D12,"")</f>
        <v>22000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>
        <v>2000</v>
      </c>
      <c r="D22" s="9"/>
      <c r="E22" s="5">
        <f t="shared" si="1"/>
        <v>24000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26000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3000</v>
      </c>
      <c r="D30" s="9"/>
      <c r="E30" s="5">
        <f t="shared" si="1"/>
        <v>29000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34000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36000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36000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36000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36000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38000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Sheet1!C46</f>
        <v>38</v>
      </c>
    </row>
    <row r="4" spans="1:9" x14ac:dyDescent="0.25">
      <c r="A4" s="21" t="s">
        <v>5</v>
      </c>
      <c r="B4" s="21"/>
      <c r="C4" s="4">
        <f>Sheet1!B46</f>
        <v>38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Sheet1!C47</f>
        <v>39</v>
      </c>
    </row>
    <row r="4" spans="1:9" x14ac:dyDescent="0.25">
      <c r="A4" s="21" t="s">
        <v>5</v>
      </c>
      <c r="B4" s="21"/>
      <c r="C4" s="4">
        <f>Sheet1!B47</f>
        <v>39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Sheet1!C48</f>
        <v>40</v>
      </c>
    </row>
    <row r="4" spans="1:9" x14ac:dyDescent="0.25">
      <c r="A4" s="21" t="s">
        <v>5</v>
      </c>
      <c r="B4" s="21"/>
      <c r="C4" s="4">
        <f>Sheet1!B48</f>
        <v>40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Sheet1!C49</f>
        <v>41</v>
      </c>
    </row>
    <row r="4" spans="1:9" x14ac:dyDescent="0.25">
      <c r="A4" s="21" t="s">
        <v>5</v>
      </c>
      <c r="B4" s="21"/>
      <c r="C4" s="4">
        <f>Sheet1!B49</f>
        <v>41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Sheet1!C50</f>
        <v>42</v>
      </c>
    </row>
    <row r="4" spans="1:9" x14ac:dyDescent="0.25">
      <c r="A4" s="21" t="s">
        <v>5</v>
      </c>
      <c r="B4" s="21"/>
      <c r="C4" s="4">
        <f>Sheet1!B50</f>
        <v>42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8" sqref="C1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Sheet1!C51</f>
        <v>43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XII - OTKP 1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2025-10-09T02:19:12Z</cp:lastPrinted>
  <dcterms:created xsi:type="dcterms:W3CDTF">2025-05-29T06:07:24Z</dcterms:created>
  <dcterms:modified xsi:type="dcterms:W3CDTF">2025-10-16T03:07:18Z</dcterms:modified>
</cp:coreProperties>
</file>